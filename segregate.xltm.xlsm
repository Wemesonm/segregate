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quartzprogrammer01\Desktop\antonio\segregateSw\"/>
    </mc:Choice>
  </mc:AlternateContent>
  <xr:revisionPtr revIDLastSave="0" documentId="13_ncr:1_{D4CAAF2F-514D-4EF1-A524-86AF8C1DD6E7}" xr6:coauthVersionLast="47" xr6:coauthVersionMax="47" xr10:uidLastSave="{00000000-0000-0000-0000-000000000000}"/>
  <bookViews>
    <workbookView xWindow="-38520" yWindow="-120" windowWidth="38640" windowHeight="21240" xr2:uid="{81EFD77B-1BDB-4D48-8358-F28A4E504738}"/>
  </bookViews>
  <sheets>
    <sheet name="data" sheetId="1" r:id="rId1"/>
    <sheet name="Sheet1" sheetId="2" r:id="rId2"/>
    <sheet name="Sheet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</calcChain>
</file>

<file path=xl/sharedStrings.xml><?xml version="1.0" encoding="utf-8"?>
<sst xmlns="http://schemas.openxmlformats.org/spreadsheetml/2006/main" count="251" uniqueCount="55">
  <si>
    <t>Midnight Starburst</t>
  </si>
  <si>
    <t>Multi</t>
  </si>
  <si>
    <t>Taurus</t>
  </si>
  <si>
    <t>Cement Lux</t>
  </si>
  <si>
    <t>Iron Starburst</t>
  </si>
  <si>
    <t>Bellagio</t>
  </si>
  <si>
    <t>Valenza</t>
  </si>
  <si>
    <t>Arctic Starburst</t>
  </si>
  <si>
    <t>Capri</t>
  </si>
  <si>
    <t>Statuario</t>
  </si>
  <si>
    <t>Treviso</t>
  </si>
  <si>
    <t>Aspen Ice</t>
  </si>
  <si>
    <t>Ultra White</t>
  </si>
  <si>
    <t>Cement Noir</t>
  </si>
  <si>
    <t>Falcon Ice</t>
  </si>
  <si>
    <t>Highland White</t>
  </si>
  <si>
    <t>Titan</t>
  </si>
  <si>
    <t>Graphite Ice</t>
  </si>
  <si>
    <t>Cement Noir|Taurus</t>
  </si>
  <si>
    <t>Arctic Starburst|Cement Noir</t>
  </si>
  <si>
    <t>Cement Lux|Cement Noir</t>
  </si>
  <si>
    <t>Atlas White</t>
  </si>
  <si>
    <t>Anthraciti</t>
  </si>
  <si>
    <t>Arabescato</t>
  </si>
  <si>
    <t>Scorpion</t>
  </si>
  <si>
    <t>Timberwolf</t>
  </si>
  <si>
    <t>Venice</t>
  </si>
  <si>
    <t>ANT</t>
  </si>
  <si>
    <t>ARA</t>
  </si>
  <si>
    <t>ARC</t>
  </si>
  <si>
    <t>ASP</t>
  </si>
  <si>
    <t>ATL</t>
  </si>
  <si>
    <t>BEL</t>
  </si>
  <si>
    <t>CAP</t>
  </si>
  <si>
    <t>FAL</t>
  </si>
  <si>
    <t>GRA</t>
  </si>
  <si>
    <t>IRO</t>
  </si>
  <si>
    <t>SCO</t>
  </si>
  <si>
    <t>STA</t>
  </si>
  <si>
    <t>TAU</t>
  </si>
  <si>
    <t>VEN</t>
  </si>
  <si>
    <t>CLU</t>
  </si>
  <si>
    <t>CNO</t>
  </si>
  <si>
    <t>HLW</t>
  </si>
  <si>
    <t>MDN</t>
  </si>
  <si>
    <t>TMB</t>
  </si>
  <si>
    <t>TTN</t>
  </si>
  <si>
    <t>TUL</t>
  </si>
  <si>
    <t>SWH</t>
  </si>
  <si>
    <t>BIA</t>
  </si>
  <si>
    <t>Order</t>
  </si>
  <si>
    <t>Thickness</t>
  </si>
  <si>
    <t>Colour</t>
  </si>
  <si>
    <t>NickName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</si>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</sst>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E74C3C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0" fillId="0" borderId="0" xfId="0" applyFont="1"/>
    <xf numFmtId="0" fontId="3" fillId="0" borderId="1" xfId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1" fillId="2" borderId="1" xfId="0" applyFont="1" applyFill="1" applyBorder="1"/>
    <xf numFmtId="0" fontId="0" fillId="3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66675</xdr:rowOff>
        </xdr:from>
        <xdr:to>
          <xdr:col>0</xdr:col>
          <xdr:colOff>1057275</xdr:colOff>
          <xdr:row>5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10</xdr:row>
          <xdr:rowOff>152400</xdr:rowOff>
        </xdr:from>
        <xdr:to>
          <xdr:col>0</xdr:col>
          <xdr:colOff>1123950</xdr:colOff>
          <xdr:row>12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inix.wrenkitchens.com/quartz_details/38883811/BARTON_QUARTZ?deliveryDate=2022-09-30" TargetMode="External"/><Relationship Id="rId13" Type="http://schemas.openxmlformats.org/officeDocument/2006/relationships/hyperlink" Target="https://minix.wrenkitchens.com/quartz_details/38842988/BARTON_QUARTZ?deliveryDate=2022-09-30" TargetMode="External"/><Relationship Id="rId18" Type="http://schemas.openxmlformats.org/officeDocument/2006/relationships/hyperlink" Target="https://minix.wrenkitchens.com/quartz_details/38804087/BARTON_QUARTZ?deliveryDate=2022-09-30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https://minix.wrenkitchens.com/quartz_details/37184484/BARTON_QUARTZ?deliveryDate=2022-09-30" TargetMode="External"/><Relationship Id="rId21" Type="http://schemas.openxmlformats.org/officeDocument/2006/relationships/hyperlink" Target="https://minix.wrenkitchens.com/quartz_details/38870779/BARTON_QUARTZ?deliveryDate=2022-09-30" TargetMode="External"/><Relationship Id="rId7" Type="http://schemas.openxmlformats.org/officeDocument/2006/relationships/hyperlink" Target="https://minix.wrenkitchens.com/quartz_details/38349584/BARTON_QUARTZ?deliveryDate=2022-09-30" TargetMode="External"/><Relationship Id="rId12" Type="http://schemas.openxmlformats.org/officeDocument/2006/relationships/hyperlink" Target="https://minix.wrenkitchens.com/quartz_details/38714874/BARTON_QUARTZ?deliveryDate=2022-09-30" TargetMode="External"/><Relationship Id="rId17" Type="http://schemas.openxmlformats.org/officeDocument/2006/relationships/hyperlink" Target="https://minix.wrenkitchens.com/quartz_details/38884593/BARTON_QUARTZ?deliveryDate=2022-09-30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https://minix.wrenkitchens.com/quartz_details/38870291/BARTON_QUARTZ?deliveryDate=2022-09-30" TargetMode="External"/><Relationship Id="rId16" Type="http://schemas.openxmlformats.org/officeDocument/2006/relationships/hyperlink" Target="https://minix.wrenkitchens.com/quartz_details/38883772/BARTON_QUARTZ?deliveryDate=2022-09-30" TargetMode="External"/><Relationship Id="rId20" Type="http://schemas.openxmlformats.org/officeDocument/2006/relationships/hyperlink" Target="https://minix.wrenkitchens.com/quartz_details/38842262/BARTON_QUARTZ?deliveryDate=2022-09-30" TargetMode="External"/><Relationship Id="rId29" Type="http://schemas.openxmlformats.org/officeDocument/2006/relationships/image" Target="../media/image1.emf"/><Relationship Id="rId1" Type="http://schemas.openxmlformats.org/officeDocument/2006/relationships/hyperlink" Target="https://minix.wrenkitchens.com/quartz_details/38883826/BARTON_QUARTZ?deliveryDate=2022-09-30" TargetMode="External"/><Relationship Id="rId6" Type="http://schemas.openxmlformats.org/officeDocument/2006/relationships/hyperlink" Target="https://minix.wrenkitchens.com/quartz_details/38024756/BARTON_QUARTZ?deliveryDate=2022-09-30" TargetMode="External"/><Relationship Id="rId11" Type="http://schemas.openxmlformats.org/officeDocument/2006/relationships/hyperlink" Target="https://minix.wrenkitchens.com/quartz_details/37581439/BARTON_QUARTZ?deliveryDate=2022-09-30" TargetMode="External"/><Relationship Id="rId24" Type="http://schemas.openxmlformats.org/officeDocument/2006/relationships/hyperlink" Target="https://minix.wrenkitchens.com/quartz_details/38887418/BARTON_QUARTZ?deliveryDate=2022-09-30" TargetMode="External"/><Relationship Id="rId5" Type="http://schemas.openxmlformats.org/officeDocument/2006/relationships/hyperlink" Target="https://minix.wrenkitchens.com/quartz_details/38014800/BARTON_QUARTZ?deliveryDate=2022-09-30" TargetMode="External"/><Relationship Id="rId15" Type="http://schemas.openxmlformats.org/officeDocument/2006/relationships/hyperlink" Target="https://minix.wrenkitchens.com/quartz_details/38828316/BARTON_QUARTZ?deliveryDate=2022-09-30" TargetMode="External"/><Relationship Id="rId23" Type="http://schemas.openxmlformats.org/officeDocument/2006/relationships/hyperlink" Target="https://minix.wrenkitchens.com/quartz_details/38887576/BARTON_QUARTZ?deliveryDate=2022-09-30" TargetMode="External"/><Relationship Id="rId28" Type="http://schemas.openxmlformats.org/officeDocument/2006/relationships/control" Target="../activeX/activeX1.xml"/><Relationship Id="rId10" Type="http://schemas.openxmlformats.org/officeDocument/2006/relationships/hyperlink" Target="https://minix.wrenkitchens.com/quartz_details/37046402/BARTON_QUARTZ?deliveryDate=2022-09-30" TargetMode="External"/><Relationship Id="rId19" Type="http://schemas.openxmlformats.org/officeDocument/2006/relationships/hyperlink" Target="https://minix.wrenkitchens.com/quartz_details/38880462/BARTON_QUARTZ?deliveryDate=2022-09-30" TargetMode="External"/><Relationship Id="rId4" Type="http://schemas.openxmlformats.org/officeDocument/2006/relationships/hyperlink" Target="https://minix.wrenkitchens.com/quartz_details/37991973/BARTON_QUARTZ?deliveryDate=2022-09-30" TargetMode="External"/><Relationship Id="rId9" Type="http://schemas.openxmlformats.org/officeDocument/2006/relationships/hyperlink" Target="https://minix.wrenkitchens.com/quartz_details/38877063/BARTON_QUARTZ?deliveryDate=2022-09-30" TargetMode="External"/><Relationship Id="rId14" Type="http://schemas.openxmlformats.org/officeDocument/2006/relationships/hyperlink" Target="https://minix.wrenkitchens.com/quartz_details/38879444/BARTON_QUARTZ?deliveryDate=2022-09-30" TargetMode="External"/><Relationship Id="rId22" Type="http://schemas.openxmlformats.org/officeDocument/2006/relationships/hyperlink" Target="https://minix.wrenkitchens.com/quartz_details/38886207/BARTON_QUARTZ?deliveryDate=2022-09-30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minix.wrenkitchens.com/quartz_details/38039537/BARTON_QUARTZ?deliveryDate=2022-09-29" TargetMode="External"/><Relationship Id="rId117" Type="http://schemas.openxmlformats.org/officeDocument/2006/relationships/hyperlink" Target="https://minix.wrenkitchens.com/quartz_details/38830008/BARTON_QUARTZ?deliveryDate=2022-09-26" TargetMode="External"/><Relationship Id="rId21" Type="http://schemas.openxmlformats.org/officeDocument/2006/relationships/hyperlink" Target="https://minix.wrenkitchens.com/quartz_details/38870779/BARTON_QUARTZ?deliveryDate=2022-09-30" TargetMode="External"/><Relationship Id="rId42" Type="http://schemas.openxmlformats.org/officeDocument/2006/relationships/hyperlink" Target="https://minix.wrenkitchens.com/quartz_details/37422251/BARTON_QUARTZ?deliveryDate=2022-09-29" TargetMode="External"/><Relationship Id="rId47" Type="http://schemas.openxmlformats.org/officeDocument/2006/relationships/hyperlink" Target="https://minix.wrenkitchens.com/quartz_details/38496779/BARTON_QUARTZ?deliveryDate=2022-09-28" TargetMode="External"/><Relationship Id="rId63" Type="http://schemas.openxmlformats.org/officeDocument/2006/relationships/hyperlink" Target="https://minix.wrenkitchens.com/quartz_details/38406337/BARTON_QUARTZ?deliveryDate=2022-09-28" TargetMode="External"/><Relationship Id="rId68" Type="http://schemas.openxmlformats.org/officeDocument/2006/relationships/hyperlink" Target="https://minix.wrenkitchens.com/quartz_details/38773144/BARTON_QUARTZ?deliveryDate=2022-09-28" TargetMode="External"/><Relationship Id="rId84" Type="http://schemas.openxmlformats.org/officeDocument/2006/relationships/hyperlink" Target="https://minix.wrenkitchens.com/quartz_details/38094211/BARTON_QUARTZ?deliveryDate=2022-09-27" TargetMode="External"/><Relationship Id="rId89" Type="http://schemas.openxmlformats.org/officeDocument/2006/relationships/hyperlink" Target="https://minix.wrenkitchens.com/quartz_details/38328470/BARTON_QUARTZ?deliveryDate=2022-09-27" TargetMode="External"/><Relationship Id="rId112" Type="http://schemas.openxmlformats.org/officeDocument/2006/relationships/hyperlink" Target="https://minix.wrenkitchens.com/quartz_details/37575542/BARTON_QUARTZ?deliveryDate=2022-09-26" TargetMode="External"/><Relationship Id="rId16" Type="http://schemas.openxmlformats.org/officeDocument/2006/relationships/hyperlink" Target="https://minix.wrenkitchens.com/quartz_details/38883772/BARTON_QUARTZ?deliveryDate=2022-09-30" TargetMode="External"/><Relationship Id="rId107" Type="http://schemas.openxmlformats.org/officeDocument/2006/relationships/hyperlink" Target="https://minix.wrenkitchens.com/quartz_details/38604349/BARTON_QUARTZ?deliveryDate=2022-09-26" TargetMode="External"/><Relationship Id="rId11" Type="http://schemas.openxmlformats.org/officeDocument/2006/relationships/hyperlink" Target="https://minix.wrenkitchens.com/quartz_details/37581439/BARTON_QUARTZ?deliveryDate=2022-09-30" TargetMode="External"/><Relationship Id="rId32" Type="http://schemas.openxmlformats.org/officeDocument/2006/relationships/hyperlink" Target="https://minix.wrenkitchens.com/quartz_details/37079351/BARTON_QUARTZ?deliveryDate=2022-09-29" TargetMode="External"/><Relationship Id="rId37" Type="http://schemas.openxmlformats.org/officeDocument/2006/relationships/hyperlink" Target="https://minix.wrenkitchens.com/quartz_details/37394176/BARTON_QUARTZ?deliveryDate=2022-09-29" TargetMode="External"/><Relationship Id="rId53" Type="http://schemas.openxmlformats.org/officeDocument/2006/relationships/hyperlink" Target="https://minix.wrenkitchens.com/quartz_details/38688674/BARTON_QUARTZ?deliveryDate=2022-09-28" TargetMode="External"/><Relationship Id="rId58" Type="http://schemas.openxmlformats.org/officeDocument/2006/relationships/hyperlink" Target="https://minix.wrenkitchens.com/quartz_details/38496669/BARTON_QUARTZ?deliveryDate=2022-09-28" TargetMode="External"/><Relationship Id="rId74" Type="http://schemas.openxmlformats.org/officeDocument/2006/relationships/hyperlink" Target="https://minix.wrenkitchens.com/quartz_details/38550746/BARTON_QUARTZ?deliveryDate=2022-09-28" TargetMode="External"/><Relationship Id="rId79" Type="http://schemas.openxmlformats.org/officeDocument/2006/relationships/hyperlink" Target="https://minix.wrenkitchens.com/quartz_details/38815533/BARTON_QUARTZ?deliveryDate=2022-09-28" TargetMode="External"/><Relationship Id="rId102" Type="http://schemas.openxmlformats.org/officeDocument/2006/relationships/hyperlink" Target="https://minix.wrenkitchens.com/quartz_details/37803513/BARTON_QUARTZ?deliveryDate=2022-09-26" TargetMode="External"/><Relationship Id="rId5" Type="http://schemas.openxmlformats.org/officeDocument/2006/relationships/hyperlink" Target="https://minix.wrenkitchens.com/quartz_details/38014800/BARTON_QUARTZ?deliveryDate=2022-09-30" TargetMode="External"/><Relationship Id="rId90" Type="http://schemas.openxmlformats.org/officeDocument/2006/relationships/hyperlink" Target="https://minix.wrenkitchens.com/quartz_details/37322588/BARTON_QUARTZ?deliveryDate=2022-09-27" TargetMode="External"/><Relationship Id="rId95" Type="http://schemas.openxmlformats.org/officeDocument/2006/relationships/hyperlink" Target="https://minix.wrenkitchens.com/quartz_details/37837575/BARTON_QUARTZ?deliveryDate=2022-09-27" TargetMode="External"/><Relationship Id="rId22" Type="http://schemas.openxmlformats.org/officeDocument/2006/relationships/hyperlink" Target="https://minix.wrenkitchens.com/quartz_details/38886207/BARTON_QUARTZ?deliveryDate=2022-09-30" TargetMode="External"/><Relationship Id="rId27" Type="http://schemas.openxmlformats.org/officeDocument/2006/relationships/hyperlink" Target="https://minix.wrenkitchens.com/quartz_details/37913458/BARTON_QUARTZ?deliveryDate=2022-09-29" TargetMode="External"/><Relationship Id="rId43" Type="http://schemas.openxmlformats.org/officeDocument/2006/relationships/hyperlink" Target="https://minix.wrenkitchens.com/quartz_details/37306258/BARTON_QUARTZ?deliveryDate=2022-09-29" TargetMode="External"/><Relationship Id="rId48" Type="http://schemas.openxmlformats.org/officeDocument/2006/relationships/hyperlink" Target="https://minix.wrenkitchens.com/quartz_details/38870086/BARTON_QUARTZ?deliveryDate=2022-09-28" TargetMode="External"/><Relationship Id="rId64" Type="http://schemas.openxmlformats.org/officeDocument/2006/relationships/hyperlink" Target="https://minix.wrenkitchens.com/quartz_details/37045978/BARTON_QUARTZ?deliveryDate=2022-09-28" TargetMode="External"/><Relationship Id="rId69" Type="http://schemas.openxmlformats.org/officeDocument/2006/relationships/hyperlink" Target="https://minix.wrenkitchens.com/quartz_details/38816320/BARTON_QUARTZ?deliveryDate=2022-09-28" TargetMode="External"/><Relationship Id="rId113" Type="http://schemas.openxmlformats.org/officeDocument/2006/relationships/hyperlink" Target="https://minix.wrenkitchens.com/quartz_details/37720267/BARTON_QUARTZ?deliveryDate=2022-09-26" TargetMode="External"/><Relationship Id="rId118" Type="http://schemas.openxmlformats.org/officeDocument/2006/relationships/hyperlink" Target="https://minix.wrenkitchens.com/quartz_details/36142879/BARTON_QUARTZ?deliveryDate=2022-09-26" TargetMode="External"/><Relationship Id="rId80" Type="http://schemas.openxmlformats.org/officeDocument/2006/relationships/hyperlink" Target="https://minix.wrenkitchens.com/quartz_details/38626667/BARTON_QUARTZ?deliveryDate=2022-09-28" TargetMode="External"/><Relationship Id="rId85" Type="http://schemas.openxmlformats.org/officeDocument/2006/relationships/hyperlink" Target="https://minix.wrenkitchens.com/quartz_details/34578152/BARTON_QUARTZ?deliveryDate=2022-09-27" TargetMode="External"/><Relationship Id="rId12" Type="http://schemas.openxmlformats.org/officeDocument/2006/relationships/hyperlink" Target="https://minix.wrenkitchens.com/quartz_details/38714874/BARTON_QUARTZ?deliveryDate=2022-09-30" TargetMode="External"/><Relationship Id="rId17" Type="http://schemas.openxmlformats.org/officeDocument/2006/relationships/hyperlink" Target="https://minix.wrenkitchens.com/quartz_details/38884593/BARTON_QUARTZ?deliveryDate=2022-09-30" TargetMode="External"/><Relationship Id="rId33" Type="http://schemas.openxmlformats.org/officeDocument/2006/relationships/hyperlink" Target="https://minix.wrenkitchens.com/quartz_details/38063200/BARTON_QUARTZ?deliveryDate=2022-09-29" TargetMode="External"/><Relationship Id="rId38" Type="http://schemas.openxmlformats.org/officeDocument/2006/relationships/hyperlink" Target="https://minix.wrenkitchens.com/quartz_details/38299452/BARTON_QUARTZ?deliveryDate=2022-09-29" TargetMode="External"/><Relationship Id="rId59" Type="http://schemas.openxmlformats.org/officeDocument/2006/relationships/hyperlink" Target="https://minix.wrenkitchens.com/quartz_details/38626707/BARTON_QUARTZ?deliveryDate=2022-09-28" TargetMode="External"/><Relationship Id="rId103" Type="http://schemas.openxmlformats.org/officeDocument/2006/relationships/hyperlink" Target="https://minix.wrenkitchens.com/quartz_details/37059948/BARTON_QUARTZ?deliveryDate=2022-09-26" TargetMode="External"/><Relationship Id="rId108" Type="http://schemas.openxmlformats.org/officeDocument/2006/relationships/hyperlink" Target="https://minix.wrenkitchens.com/quartz_details/36160305/BARTON_QUARTZ?deliveryDate=2022-09-26" TargetMode="External"/><Relationship Id="rId54" Type="http://schemas.openxmlformats.org/officeDocument/2006/relationships/hyperlink" Target="https://minix.wrenkitchens.com/quartz_details/38843889/BARTON_QUARTZ?deliveryDate=2022-09-28" TargetMode="External"/><Relationship Id="rId70" Type="http://schemas.openxmlformats.org/officeDocument/2006/relationships/hyperlink" Target="https://minix.wrenkitchens.com/quartz_details/38849669/BARTON_QUARTZ?deliveryDate=2022-09-28" TargetMode="External"/><Relationship Id="rId75" Type="http://schemas.openxmlformats.org/officeDocument/2006/relationships/hyperlink" Target="https://minix.wrenkitchens.com/quartz_details/38848930/BARTON_QUARTZ?deliveryDate=2022-09-28" TargetMode="External"/><Relationship Id="rId91" Type="http://schemas.openxmlformats.org/officeDocument/2006/relationships/hyperlink" Target="https://minix.wrenkitchens.com/quartz_details/37399230/BARTON_QUARTZ?deliveryDate=2022-09-27" TargetMode="External"/><Relationship Id="rId96" Type="http://schemas.openxmlformats.org/officeDocument/2006/relationships/hyperlink" Target="https://minix.wrenkitchens.com/quartz_details/38830328/BARTON_QUARTZ?deliveryDate=2022-09-27" TargetMode="External"/><Relationship Id="rId1" Type="http://schemas.openxmlformats.org/officeDocument/2006/relationships/hyperlink" Target="https://minix.wrenkitchens.com/quartz_details/38883826/BARTON_QUARTZ?deliveryDate=2022-09-30" TargetMode="External"/><Relationship Id="rId6" Type="http://schemas.openxmlformats.org/officeDocument/2006/relationships/hyperlink" Target="https://minix.wrenkitchens.com/quartz_details/38024756/BARTON_QUARTZ?deliveryDate=2022-09-30" TargetMode="External"/><Relationship Id="rId23" Type="http://schemas.openxmlformats.org/officeDocument/2006/relationships/hyperlink" Target="https://minix.wrenkitchens.com/quartz_details/38887576/BARTON_QUARTZ?deliveryDate=2022-09-30" TargetMode="External"/><Relationship Id="rId28" Type="http://schemas.openxmlformats.org/officeDocument/2006/relationships/hyperlink" Target="https://minix.wrenkitchens.com/quartz_details/37947203/BARTON_QUARTZ?deliveryDate=2022-09-29" TargetMode="External"/><Relationship Id="rId49" Type="http://schemas.openxmlformats.org/officeDocument/2006/relationships/hyperlink" Target="https://minix.wrenkitchens.com/quartz_details/36995704/BARTON_QUARTZ?deliveryDate=2022-09-28" TargetMode="External"/><Relationship Id="rId114" Type="http://schemas.openxmlformats.org/officeDocument/2006/relationships/hyperlink" Target="https://minix.wrenkitchens.com/quartz_details/37990375/BARTON_QUARTZ?deliveryDate=2022-09-26" TargetMode="External"/><Relationship Id="rId119" Type="http://schemas.openxmlformats.org/officeDocument/2006/relationships/hyperlink" Target="https://minix.wrenkitchens.com/quartz_details/37993498/BARTON_QUARTZ?deliveryDate=2022-09-26" TargetMode="External"/><Relationship Id="rId10" Type="http://schemas.openxmlformats.org/officeDocument/2006/relationships/hyperlink" Target="https://minix.wrenkitchens.com/quartz_details/37046402/BARTON_QUARTZ?deliveryDate=2022-09-30" TargetMode="External"/><Relationship Id="rId31" Type="http://schemas.openxmlformats.org/officeDocument/2006/relationships/hyperlink" Target="https://minix.wrenkitchens.com/quartz_details/38510678/BARTON_QUARTZ?deliveryDate=2022-09-29" TargetMode="External"/><Relationship Id="rId44" Type="http://schemas.openxmlformats.org/officeDocument/2006/relationships/hyperlink" Target="https://minix.wrenkitchens.com/quartz_details/36980406/BARTON_QUARTZ?deliveryDate=2022-09-29" TargetMode="External"/><Relationship Id="rId52" Type="http://schemas.openxmlformats.org/officeDocument/2006/relationships/hyperlink" Target="https://minix.wrenkitchens.com/quartz_details/36374441/BARTON_QUARTZ?deliveryDate=2022-09-28" TargetMode="External"/><Relationship Id="rId60" Type="http://schemas.openxmlformats.org/officeDocument/2006/relationships/hyperlink" Target="https://minix.wrenkitchens.com/quartz_details/36138613/BARTON_QUARTZ?deliveryDate=2022-09-28" TargetMode="External"/><Relationship Id="rId65" Type="http://schemas.openxmlformats.org/officeDocument/2006/relationships/hyperlink" Target="https://minix.wrenkitchens.com/quartz_details/38496691/BARTON_QUARTZ?deliveryDate=2022-09-28" TargetMode="External"/><Relationship Id="rId73" Type="http://schemas.openxmlformats.org/officeDocument/2006/relationships/hyperlink" Target="https://minix.wrenkitchens.com/quartz_details/38496759/BARTON_QUARTZ?deliveryDate=2022-09-28" TargetMode="External"/><Relationship Id="rId78" Type="http://schemas.openxmlformats.org/officeDocument/2006/relationships/hyperlink" Target="https://minix.wrenkitchens.com/quartz_details/38840235/BARTON_QUARTZ?deliveryDate=2022-09-28" TargetMode="External"/><Relationship Id="rId81" Type="http://schemas.openxmlformats.org/officeDocument/2006/relationships/hyperlink" Target="https://minix.wrenkitchens.com/quartz_details/38869769/BARTON_QUARTZ?deliveryDate=2022-09-27" TargetMode="External"/><Relationship Id="rId86" Type="http://schemas.openxmlformats.org/officeDocument/2006/relationships/hyperlink" Target="https://minix.wrenkitchens.com/quartz_details/36812087/BARTON_QUARTZ?deliveryDate=2022-09-27" TargetMode="External"/><Relationship Id="rId94" Type="http://schemas.openxmlformats.org/officeDocument/2006/relationships/hyperlink" Target="https://minix.wrenkitchens.com/quartz_details/37962089/BARTON_QUARTZ?deliveryDate=2022-09-27" TargetMode="External"/><Relationship Id="rId99" Type="http://schemas.openxmlformats.org/officeDocument/2006/relationships/hyperlink" Target="https://minix.wrenkitchens.com/quartz_details/38745961/BARTON_QUARTZ?deliveryDate=2022-09-27" TargetMode="External"/><Relationship Id="rId101" Type="http://schemas.openxmlformats.org/officeDocument/2006/relationships/hyperlink" Target="https://minix.wrenkitchens.com/quartz_details/37205638/BARTON_QUARTZ?deliveryDate=2022-09-26" TargetMode="External"/><Relationship Id="rId4" Type="http://schemas.openxmlformats.org/officeDocument/2006/relationships/hyperlink" Target="https://minix.wrenkitchens.com/quartz_details/37991973/BARTON_QUARTZ?deliveryDate=2022-09-30" TargetMode="External"/><Relationship Id="rId9" Type="http://schemas.openxmlformats.org/officeDocument/2006/relationships/hyperlink" Target="https://minix.wrenkitchens.com/quartz_details/38877063/BARTON_QUARTZ?deliveryDate=2022-09-30" TargetMode="External"/><Relationship Id="rId13" Type="http://schemas.openxmlformats.org/officeDocument/2006/relationships/hyperlink" Target="https://minix.wrenkitchens.com/quartz_details/38842988/BARTON_QUARTZ?deliveryDate=2022-09-30" TargetMode="External"/><Relationship Id="rId18" Type="http://schemas.openxmlformats.org/officeDocument/2006/relationships/hyperlink" Target="https://minix.wrenkitchens.com/quartz_details/38804087/BARTON_QUARTZ?deliveryDate=2022-09-30" TargetMode="External"/><Relationship Id="rId39" Type="http://schemas.openxmlformats.org/officeDocument/2006/relationships/hyperlink" Target="https://minix.wrenkitchens.com/quartz_details/38850458/BARTON_QUARTZ?deliveryDate=2022-09-29" TargetMode="External"/><Relationship Id="rId109" Type="http://schemas.openxmlformats.org/officeDocument/2006/relationships/hyperlink" Target="https://minix.wrenkitchens.com/quartz_details/37929090/BARTON_QUARTZ?deliveryDate=2022-09-26" TargetMode="External"/><Relationship Id="rId34" Type="http://schemas.openxmlformats.org/officeDocument/2006/relationships/hyperlink" Target="https://minix.wrenkitchens.com/quartz_details/37905159/BARTON_QUARTZ?deliveryDate=2022-09-29" TargetMode="External"/><Relationship Id="rId50" Type="http://schemas.openxmlformats.org/officeDocument/2006/relationships/hyperlink" Target="https://minix.wrenkitchens.com/quartz_details/37542396/BARTON_QUARTZ?deliveryDate=2022-09-28" TargetMode="External"/><Relationship Id="rId55" Type="http://schemas.openxmlformats.org/officeDocument/2006/relationships/hyperlink" Target="https://minix.wrenkitchens.com/quartz_details/36950675/BARTON_QUARTZ?deliveryDate=2022-09-28" TargetMode="External"/><Relationship Id="rId76" Type="http://schemas.openxmlformats.org/officeDocument/2006/relationships/hyperlink" Target="https://minix.wrenkitchens.com/quartz_details/38824944/BARTON_QUARTZ?deliveryDate=2022-09-28" TargetMode="External"/><Relationship Id="rId97" Type="http://schemas.openxmlformats.org/officeDocument/2006/relationships/hyperlink" Target="https://minix.wrenkitchens.com/quartz_details/38604675/BARTON_QUARTZ?deliveryDate=2022-09-27" TargetMode="External"/><Relationship Id="rId104" Type="http://schemas.openxmlformats.org/officeDocument/2006/relationships/hyperlink" Target="https://minix.wrenkitchens.com/quartz_details/37239518/BARTON_QUARTZ?deliveryDate=2022-09-26" TargetMode="External"/><Relationship Id="rId120" Type="http://schemas.openxmlformats.org/officeDocument/2006/relationships/hyperlink" Target="https://minix.wrenkitchens.com/quartz_details/37548277/BARTON_QUARTZ?deliveryDate=2022-09-26" TargetMode="External"/><Relationship Id="rId7" Type="http://schemas.openxmlformats.org/officeDocument/2006/relationships/hyperlink" Target="https://minix.wrenkitchens.com/quartz_details/38349584/BARTON_QUARTZ?deliveryDate=2022-09-30" TargetMode="External"/><Relationship Id="rId71" Type="http://schemas.openxmlformats.org/officeDocument/2006/relationships/hyperlink" Target="https://minix.wrenkitchens.com/quartz_details/38756329/BARTON_QUARTZ?deliveryDate=2022-09-28" TargetMode="External"/><Relationship Id="rId92" Type="http://schemas.openxmlformats.org/officeDocument/2006/relationships/hyperlink" Target="https://minix.wrenkitchens.com/quartz_details/35622959/BARTON_QUARTZ?deliveryDate=2022-09-27" TargetMode="External"/><Relationship Id="rId2" Type="http://schemas.openxmlformats.org/officeDocument/2006/relationships/hyperlink" Target="https://minix.wrenkitchens.com/quartz_details/38870291/BARTON_QUARTZ?deliveryDate=2022-09-30" TargetMode="External"/><Relationship Id="rId29" Type="http://schemas.openxmlformats.org/officeDocument/2006/relationships/hyperlink" Target="https://minix.wrenkitchens.com/quartz_details/38018217/BARTON_QUARTZ?deliveryDate=2022-09-29" TargetMode="External"/><Relationship Id="rId24" Type="http://schemas.openxmlformats.org/officeDocument/2006/relationships/hyperlink" Target="https://minix.wrenkitchens.com/quartz_details/38887418/BARTON_QUARTZ?deliveryDate=2022-09-30" TargetMode="External"/><Relationship Id="rId40" Type="http://schemas.openxmlformats.org/officeDocument/2006/relationships/hyperlink" Target="https://minix.wrenkitchens.com/quartz_details/34630781/BARTON_QUARTZ?deliveryDate=2022-09-29" TargetMode="External"/><Relationship Id="rId45" Type="http://schemas.openxmlformats.org/officeDocument/2006/relationships/hyperlink" Target="https://minix.wrenkitchens.com/quartz_details/38878899/BARTON_QUARTZ?deliveryDate=2022-09-29" TargetMode="External"/><Relationship Id="rId66" Type="http://schemas.openxmlformats.org/officeDocument/2006/relationships/hyperlink" Target="https://minix.wrenkitchens.com/quartz_details/38840363/BARTON_QUARTZ?deliveryDate=2022-09-28" TargetMode="External"/><Relationship Id="rId87" Type="http://schemas.openxmlformats.org/officeDocument/2006/relationships/hyperlink" Target="https://minix.wrenkitchens.com/quartz_details/36928136/BARTON_QUARTZ?deliveryDate=2022-09-27" TargetMode="External"/><Relationship Id="rId110" Type="http://schemas.openxmlformats.org/officeDocument/2006/relationships/hyperlink" Target="https://minix.wrenkitchens.com/quartz_details/36758437/BARTON_QUARTZ?deliveryDate=2022-09-26" TargetMode="External"/><Relationship Id="rId115" Type="http://schemas.openxmlformats.org/officeDocument/2006/relationships/hyperlink" Target="https://minix.wrenkitchens.com/quartz_details/38337477/BARTON_QUARTZ?deliveryDate=2022-09-26" TargetMode="External"/><Relationship Id="rId61" Type="http://schemas.openxmlformats.org/officeDocument/2006/relationships/hyperlink" Target="https://minix.wrenkitchens.com/quartz_details/38773101/BARTON_QUARTZ?deliveryDate=2022-09-28" TargetMode="External"/><Relationship Id="rId82" Type="http://schemas.openxmlformats.org/officeDocument/2006/relationships/hyperlink" Target="https://minix.wrenkitchens.com/quartz_details/37416307/BARTON_QUARTZ?deliveryDate=2022-09-27" TargetMode="External"/><Relationship Id="rId19" Type="http://schemas.openxmlformats.org/officeDocument/2006/relationships/hyperlink" Target="https://minix.wrenkitchens.com/quartz_details/38880462/BARTON_QUARTZ?deliveryDate=2022-09-30" TargetMode="External"/><Relationship Id="rId14" Type="http://schemas.openxmlformats.org/officeDocument/2006/relationships/hyperlink" Target="https://minix.wrenkitchens.com/quartz_details/38879444/BARTON_QUARTZ?deliveryDate=2022-09-30" TargetMode="External"/><Relationship Id="rId30" Type="http://schemas.openxmlformats.org/officeDocument/2006/relationships/hyperlink" Target="https://minix.wrenkitchens.com/quartz_details/38040492/BARTON_QUARTZ?deliveryDate=2022-09-29" TargetMode="External"/><Relationship Id="rId35" Type="http://schemas.openxmlformats.org/officeDocument/2006/relationships/hyperlink" Target="https://minix.wrenkitchens.com/quartz_details/37774638/BARTON_QUARTZ?deliveryDate=2022-09-29" TargetMode="External"/><Relationship Id="rId56" Type="http://schemas.openxmlformats.org/officeDocument/2006/relationships/hyperlink" Target="https://minix.wrenkitchens.com/quartz_details/37690741/BARTON_QUARTZ?deliveryDate=2022-09-28" TargetMode="External"/><Relationship Id="rId77" Type="http://schemas.openxmlformats.org/officeDocument/2006/relationships/hyperlink" Target="https://minix.wrenkitchens.com/quartz_details/38848021/BARTON_QUARTZ?deliveryDate=2022-09-28" TargetMode="External"/><Relationship Id="rId100" Type="http://schemas.openxmlformats.org/officeDocument/2006/relationships/hyperlink" Target="https://minix.wrenkitchens.com/quartz_details/38841414/BARTON_QUARTZ?deliveryDate=2022-09-26" TargetMode="External"/><Relationship Id="rId105" Type="http://schemas.openxmlformats.org/officeDocument/2006/relationships/hyperlink" Target="https://minix.wrenkitchens.com/quartz_details/38244709/BARTON_QUARTZ?deliveryDate=2022-09-26" TargetMode="External"/><Relationship Id="rId8" Type="http://schemas.openxmlformats.org/officeDocument/2006/relationships/hyperlink" Target="https://minix.wrenkitchens.com/quartz_details/38883811/BARTON_QUARTZ?deliveryDate=2022-09-30" TargetMode="External"/><Relationship Id="rId51" Type="http://schemas.openxmlformats.org/officeDocument/2006/relationships/hyperlink" Target="https://minix.wrenkitchens.com/quartz_details/37931886/BARTON_QUARTZ?deliveryDate=2022-09-28" TargetMode="External"/><Relationship Id="rId72" Type="http://schemas.openxmlformats.org/officeDocument/2006/relationships/hyperlink" Target="https://minix.wrenkitchens.com/quartz_details/38152314/BARTON_QUARTZ?deliveryDate=2022-09-28" TargetMode="External"/><Relationship Id="rId93" Type="http://schemas.openxmlformats.org/officeDocument/2006/relationships/hyperlink" Target="https://minix.wrenkitchens.com/quartz_details/38306080/BARTON_QUARTZ?deliveryDate=2022-09-27" TargetMode="External"/><Relationship Id="rId98" Type="http://schemas.openxmlformats.org/officeDocument/2006/relationships/hyperlink" Target="https://minix.wrenkitchens.com/quartz_details/38565947/BARTON_QUARTZ?deliveryDate=2022-09-27" TargetMode="External"/><Relationship Id="rId3" Type="http://schemas.openxmlformats.org/officeDocument/2006/relationships/hyperlink" Target="https://minix.wrenkitchens.com/quartz_details/37184484/BARTON_QUARTZ?deliveryDate=2022-09-30" TargetMode="External"/><Relationship Id="rId25" Type="http://schemas.openxmlformats.org/officeDocument/2006/relationships/hyperlink" Target="https://minix.wrenkitchens.com/quartz_details/38821220/BARTON_QUARTZ?deliveryDate=2022-09-29" TargetMode="External"/><Relationship Id="rId46" Type="http://schemas.openxmlformats.org/officeDocument/2006/relationships/hyperlink" Target="https://minix.wrenkitchens.com/quartz_details/38847533/BARTON_QUARTZ?deliveryDate=2022-09-29" TargetMode="External"/><Relationship Id="rId67" Type="http://schemas.openxmlformats.org/officeDocument/2006/relationships/hyperlink" Target="https://minix.wrenkitchens.com/quartz_details/37810204/BARTON_QUARTZ?deliveryDate=2022-09-28" TargetMode="External"/><Relationship Id="rId116" Type="http://schemas.openxmlformats.org/officeDocument/2006/relationships/hyperlink" Target="https://minix.wrenkitchens.com/quartz_details/37604987/BARTON_QUARTZ?deliveryDate=2022-09-26" TargetMode="External"/><Relationship Id="rId20" Type="http://schemas.openxmlformats.org/officeDocument/2006/relationships/hyperlink" Target="https://minix.wrenkitchens.com/quartz_details/38842262/BARTON_QUARTZ?deliveryDate=2022-09-30" TargetMode="External"/><Relationship Id="rId41" Type="http://schemas.openxmlformats.org/officeDocument/2006/relationships/hyperlink" Target="https://minix.wrenkitchens.com/quartz_details/38253065/BARTON_QUARTZ?deliveryDate=2022-09-29" TargetMode="External"/><Relationship Id="rId62" Type="http://schemas.openxmlformats.org/officeDocument/2006/relationships/hyperlink" Target="https://minix.wrenkitchens.com/quartz_details/38871882/BARTON_QUARTZ?deliveryDate=2022-09-28" TargetMode="External"/><Relationship Id="rId83" Type="http://schemas.openxmlformats.org/officeDocument/2006/relationships/hyperlink" Target="https://minix.wrenkitchens.com/quartz_details/38323459/BARTON_QUARTZ?deliveryDate=2022-09-27" TargetMode="External"/><Relationship Id="rId88" Type="http://schemas.openxmlformats.org/officeDocument/2006/relationships/hyperlink" Target="https://minix.wrenkitchens.com/quartz_details/36884447/BARTON_QUARTZ?deliveryDate=2022-09-27" TargetMode="External"/><Relationship Id="rId111" Type="http://schemas.openxmlformats.org/officeDocument/2006/relationships/hyperlink" Target="https://minix.wrenkitchens.com/quartz_details/37204965/BARTON_QUARTZ?deliveryDate=2022-09-26" TargetMode="External"/><Relationship Id="rId15" Type="http://schemas.openxmlformats.org/officeDocument/2006/relationships/hyperlink" Target="https://minix.wrenkitchens.com/quartz_details/38828316/BARTON_QUARTZ?deliveryDate=2022-09-30" TargetMode="External"/><Relationship Id="rId36" Type="http://schemas.openxmlformats.org/officeDocument/2006/relationships/hyperlink" Target="https://minix.wrenkitchens.com/quartz_details/38690823/BARTON_QUARTZ?deliveryDate=2022-09-29" TargetMode="External"/><Relationship Id="rId57" Type="http://schemas.openxmlformats.org/officeDocument/2006/relationships/hyperlink" Target="https://minix.wrenkitchens.com/quartz_details/38356068/BARTON_QUARTZ?deliveryDate=2022-09-28" TargetMode="External"/><Relationship Id="rId106" Type="http://schemas.openxmlformats.org/officeDocument/2006/relationships/hyperlink" Target="https://minix.wrenkitchens.com/quartz_details/38814910/BARTON_QUARTZ?deliveryDate=2022-09-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08253-FB41-4DBC-9276-D1A7C9A59618}">
  <sheetPr codeName="Planilha1"/>
  <dimension ref="A1:F60"/>
  <sheetViews>
    <sheetView tabSelected="1" workbookViewId="0">
      <selection activeCell="D38" sqref="D38"/>
    </sheetView>
  </sheetViews>
  <sheetFormatPr defaultColWidth="0" defaultRowHeight="15" zeroHeight="1" x14ac:dyDescent="0.25"/>
  <cols>
    <col min="1" max="1" width="17.85546875" customWidth="1"/>
    <col min="2" max="2" width="12.7109375" customWidth="1"/>
    <col min="3" max="3" width="11.28515625" customWidth="1"/>
    <col min="4" max="4" width="20.28515625" customWidth="1"/>
    <col min="5" max="5" width="11.140625" customWidth="1"/>
    <col min="6" max="6" width="3.28515625" customWidth="1"/>
    <col min="7" max="16384" width="9.140625" hidden="1"/>
  </cols>
  <sheetData>
    <row r="1" spans="1:6" x14ac:dyDescent="0.25">
      <c r="A1" s="17"/>
      <c r="B1" s="15" t="s">
        <v>50</v>
      </c>
      <c r="C1" s="15" t="s">
        <v>51</v>
      </c>
      <c r="D1" s="15" t="s">
        <v>52</v>
      </c>
      <c r="E1" s="15" t="s">
        <v>53</v>
      </c>
      <c r="F1" s="18"/>
    </row>
    <row r="2" spans="1:6" x14ac:dyDescent="0.25">
      <c r="A2" s="17"/>
      <c r="B2" s="9">
        <v>38883826</v>
      </c>
      <c r="C2" s="10">
        <v>30</v>
      </c>
      <c r="D2" s="11" t="s">
        <v>0</v>
      </c>
      <c r="E2" s="12" t="str">
        <f>IFERROR(IF(D2="", "",VLOOKUP(D2,Sheet2!A:B,2,0)),"")</f>
        <v>MDN</v>
      </c>
      <c r="F2" s="18"/>
    </row>
    <row r="3" spans="1:6" x14ac:dyDescent="0.25">
      <c r="A3" s="17"/>
      <c r="B3" s="9">
        <v>38870291</v>
      </c>
      <c r="C3" s="13" t="s">
        <v>1</v>
      </c>
      <c r="D3" s="14" t="s">
        <v>2</v>
      </c>
      <c r="E3" s="12" t="str">
        <f>IFERROR(IF(D3="", "",VLOOKUP(D3,Sheet2!A:B,2,0)),"")</f>
        <v>TAU</v>
      </c>
      <c r="F3" s="18"/>
    </row>
    <row r="4" spans="1:6" x14ac:dyDescent="0.25">
      <c r="A4" s="17"/>
      <c r="B4" s="9">
        <v>37184484</v>
      </c>
      <c r="C4" s="13">
        <v>20</v>
      </c>
      <c r="D4" s="14" t="s">
        <v>2</v>
      </c>
      <c r="E4" s="12" t="str">
        <f>IFERROR(IF(D4="", "",VLOOKUP(D4,Sheet2!A:B,2,0)),"")</f>
        <v>TAU</v>
      </c>
      <c r="F4" s="18"/>
    </row>
    <row r="5" spans="1:6" x14ac:dyDescent="0.25">
      <c r="A5" s="17"/>
      <c r="B5" s="9">
        <v>37991973</v>
      </c>
      <c r="C5" s="13" t="s">
        <v>1</v>
      </c>
      <c r="D5" s="14" t="s">
        <v>2</v>
      </c>
      <c r="E5" s="12" t="str">
        <f>IFERROR(IF(D5="", "",VLOOKUP(D5,Sheet2!A:B,2,0)),"")</f>
        <v>TAU</v>
      </c>
      <c r="F5" s="18"/>
    </row>
    <row r="6" spans="1:6" x14ac:dyDescent="0.25">
      <c r="A6" s="17"/>
      <c r="B6" s="9">
        <v>38014800</v>
      </c>
      <c r="C6" s="13" t="s">
        <v>1</v>
      </c>
      <c r="D6" s="14" t="s">
        <v>2</v>
      </c>
      <c r="E6" s="12" t="str">
        <f>IFERROR(IF(D6="", "",VLOOKUP(D6,Sheet2!A:B,2,0)),"")</f>
        <v>TAU</v>
      </c>
      <c r="F6" s="18"/>
    </row>
    <row r="7" spans="1:6" x14ac:dyDescent="0.25">
      <c r="A7" s="17"/>
      <c r="B7" s="9">
        <v>38024756</v>
      </c>
      <c r="C7" s="13" t="s">
        <v>1</v>
      </c>
      <c r="D7" s="14" t="s">
        <v>2</v>
      </c>
      <c r="E7" s="12" t="str">
        <f>IFERROR(IF(D7="", "",VLOOKUP(D7,Sheet2!A:B,2,0)),"")</f>
        <v>TAU</v>
      </c>
      <c r="F7" s="18"/>
    </row>
    <row r="8" spans="1:6" x14ac:dyDescent="0.25">
      <c r="A8" s="17"/>
      <c r="B8" s="9">
        <v>38349584</v>
      </c>
      <c r="C8" s="13">
        <v>30</v>
      </c>
      <c r="D8" s="14" t="s">
        <v>2</v>
      </c>
      <c r="E8" s="12" t="str">
        <f>IFERROR(IF(D8="", "",VLOOKUP(D8,Sheet2!A:B,2,0)),"")</f>
        <v>TAU</v>
      </c>
      <c r="F8" s="18"/>
    </row>
    <row r="9" spans="1:6" x14ac:dyDescent="0.25">
      <c r="A9" s="17"/>
      <c r="B9" s="9">
        <v>38883811</v>
      </c>
      <c r="C9" s="10">
        <v>20</v>
      </c>
      <c r="D9" s="11" t="s">
        <v>3</v>
      </c>
      <c r="E9" s="12" t="str">
        <f>IFERROR(IF(D9="", "",VLOOKUP(D9,Sheet2!A:B,2,0)),"")</f>
        <v>CLU</v>
      </c>
      <c r="F9" s="18"/>
    </row>
    <row r="10" spans="1:6" x14ac:dyDescent="0.25">
      <c r="A10" s="17"/>
      <c r="B10" s="9">
        <v>38877063</v>
      </c>
      <c r="C10" s="10">
        <v>20</v>
      </c>
      <c r="D10" s="11" t="s">
        <v>4</v>
      </c>
      <c r="E10" s="12" t="str">
        <f>IFERROR(IF(D10="", "",VLOOKUP(D10,Sheet2!A:B,2,0)),"")</f>
        <v>IRO</v>
      </c>
      <c r="F10" s="18"/>
    </row>
    <row r="11" spans="1:6" x14ac:dyDescent="0.25">
      <c r="A11" s="17"/>
      <c r="B11" s="9">
        <v>37046402</v>
      </c>
      <c r="C11" s="13" t="s">
        <v>1</v>
      </c>
      <c r="D11" s="14" t="s">
        <v>5</v>
      </c>
      <c r="E11" s="12" t="str">
        <f>IFERROR(IF(D11="", "",VLOOKUP(D11,Sheet2!A:B,2,0)),"")</f>
        <v>BEL</v>
      </c>
      <c r="F11" s="18"/>
    </row>
    <row r="12" spans="1:6" x14ac:dyDescent="0.25">
      <c r="A12" s="17"/>
      <c r="B12" s="9">
        <v>37581439</v>
      </c>
      <c r="C12" s="13" t="s">
        <v>1</v>
      </c>
      <c r="D12" s="14" t="s">
        <v>5</v>
      </c>
      <c r="E12" s="12" t="str">
        <f>IFERROR(IF(D12="", "",VLOOKUP(D12,Sheet2!A:B,2,0)),"")</f>
        <v>BEL</v>
      </c>
      <c r="F12" s="18"/>
    </row>
    <row r="13" spans="1:6" x14ac:dyDescent="0.25">
      <c r="A13" s="17"/>
      <c r="B13" s="9">
        <v>38714874</v>
      </c>
      <c r="C13" s="10" t="s">
        <v>1</v>
      </c>
      <c r="D13" s="11" t="s">
        <v>6</v>
      </c>
      <c r="E13" s="12" t="str">
        <f>IFERROR(IF(D13="", "",VLOOKUP(D13,Sheet2!A:B,2,0)),"")</f>
        <v>BIA</v>
      </c>
      <c r="F13" s="18"/>
    </row>
    <row r="14" spans="1:6" x14ac:dyDescent="0.25">
      <c r="A14" s="17"/>
      <c r="B14" s="9">
        <v>38842988</v>
      </c>
      <c r="C14" s="10">
        <v>20</v>
      </c>
      <c r="D14" s="11" t="s">
        <v>7</v>
      </c>
      <c r="E14" s="12" t="str">
        <f>IFERROR(IF(D14="", "",VLOOKUP(D14,Sheet2!A:B,2,0)),"")</f>
        <v>ARC</v>
      </c>
      <c r="F14" s="18"/>
    </row>
    <row r="15" spans="1:6" x14ac:dyDescent="0.25">
      <c r="A15" s="17"/>
      <c r="B15" s="9">
        <v>38879444</v>
      </c>
      <c r="C15" s="10">
        <v>20</v>
      </c>
      <c r="D15" s="11" t="s">
        <v>7</v>
      </c>
      <c r="E15" s="12" t="str">
        <f>IFERROR(IF(D15="", "",VLOOKUP(D15,Sheet2!A:B,2,0)),"")</f>
        <v>ARC</v>
      </c>
      <c r="F15" s="18"/>
    </row>
    <row r="16" spans="1:6" x14ac:dyDescent="0.25">
      <c r="A16" s="17"/>
      <c r="B16" s="9">
        <v>38828316</v>
      </c>
      <c r="C16" s="10">
        <v>20</v>
      </c>
      <c r="D16" s="11" t="s">
        <v>8</v>
      </c>
      <c r="E16" s="12" t="str">
        <f>IFERROR(IF(D16="", "",VLOOKUP(D16,Sheet2!A:B,2,0)),"")</f>
        <v>CAP</v>
      </c>
      <c r="F16" s="18"/>
    </row>
    <row r="17" spans="1:6" x14ac:dyDescent="0.25">
      <c r="A17" s="17"/>
      <c r="B17" s="9">
        <v>38883772</v>
      </c>
      <c r="C17" s="10">
        <v>30</v>
      </c>
      <c r="D17" s="11" t="s">
        <v>8</v>
      </c>
      <c r="E17" s="12" t="str">
        <f>IFERROR(IF(D17="", "",VLOOKUP(D17,Sheet2!A:B,2,0)),"")</f>
        <v>CAP</v>
      </c>
      <c r="F17" s="18"/>
    </row>
    <row r="18" spans="1:6" x14ac:dyDescent="0.25">
      <c r="A18" s="17"/>
      <c r="B18" s="9">
        <v>38884593</v>
      </c>
      <c r="C18" s="10">
        <v>20</v>
      </c>
      <c r="D18" s="11" t="s">
        <v>8</v>
      </c>
      <c r="E18" s="12" t="str">
        <f>IFERROR(IF(D18="", "",VLOOKUP(D18,Sheet2!A:B,2,0)),"")</f>
        <v>CAP</v>
      </c>
      <c r="F18" s="18"/>
    </row>
    <row r="19" spans="1:6" x14ac:dyDescent="0.25">
      <c r="A19" s="17"/>
      <c r="B19" s="9">
        <v>38804087</v>
      </c>
      <c r="C19" s="10">
        <v>20</v>
      </c>
      <c r="D19" s="11" t="s">
        <v>9</v>
      </c>
      <c r="E19" s="12" t="str">
        <f>IFERROR(IF(D19="", "",VLOOKUP(D19,Sheet2!A:B,2,0)),"")</f>
        <v>STA</v>
      </c>
      <c r="F19" s="18"/>
    </row>
    <row r="20" spans="1:6" x14ac:dyDescent="0.25">
      <c r="A20" s="17"/>
      <c r="B20" s="9">
        <v>38880462</v>
      </c>
      <c r="C20" s="10">
        <v>30</v>
      </c>
      <c r="D20" s="11" t="s">
        <v>10</v>
      </c>
      <c r="E20" s="12" t="str">
        <f>IFERROR(IF(D20="", "",VLOOKUP(D20,Sheet2!A:B,2,0)),"")</f>
        <v>TUL</v>
      </c>
      <c r="F20" s="18"/>
    </row>
    <row r="21" spans="1:6" x14ac:dyDescent="0.25">
      <c r="A21" s="17"/>
      <c r="B21" s="9">
        <v>38842262</v>
      </c>
      <c r="C21" s="10" t="s">
        <v>1</v>
      </c>
      <c r="D21" s="11" t="s">
        <v>11</v>
      </c>
      <c r="E21" s="12" t="str">
        <f>IFERROR(IF(D21="", "",VLOOKUP(D21,Sheet2!A:B,2,0)),"")</f>
        <v>ASP</v>
      </c>
      <c r="F21" s="18"/>
    </row>
    <row r="22" spans="1:6" x14ac:dyDescent="0.25">
      <c r="A22" s="17"/>
      <c r="B22" s="9">
        <v>38870779</v>
      </c>
      <c r="C22" s="10">
        <v>30</v>
      </c>
      <c r="D22" s="11" t="s">
        <v>11</v>
      </c>
      <c r="E22" s="12" t="str">
        <f>IFERROR(IF(D22="", "",VLOOKUP(D22,Sheet2!A:B,2,0)),"")</f>
        <v>ASP</v>
      </c>
      <c r="F22" s="18"/>
    </row>
    <row r="23" spans="1:6" x14ac:dyDescent="0.25">
      <c r="A23" s="17"/>
      <c r="B23" s="9">
        <v>38886207</v>
      </c>
      <c r="C23" s="10">
        <v>20</v>
      </c>
      <c r="D23" s="11" t="s">
        <v>11</v>
      </c>
      <c r="E23" s="12" t="str">
        <f>IFERROR(IF(D23="", "",VLOOKUP(D23,Sheet2!A:B,2,0)),"")</f>
        <v>ASP</v>
      </c>
      <c r="F23" s="18"/>
    </row>
    <row r="24" spans="1:6" x14ac:dyDescent="0.25">
      <c r="A24" s="17"/>
      <c r="B24" s="9">
        <v>38887576</v>
      </c>
      <c r="C24" s="10">
        <v>30</v>
      </c>
      <c r="D24" s="11" t="s">
        <v>11</v>
      </c>
      <c r="E24" s="12" t="str">
        <f>IFERROR(IF(D24="", "",VLOOKUP(D24,Sheet2!A:B,2,0)),"")</f>
        <v>ASP</v>
      </c>
      <c r="F24" s="18"/>
    </row>
    <row r="25" spans="1:6" x14ac:dyDescent="0.25">
      <c r="A25" s="17"/>
      <c r="B25" s="9">
        <v>38887418</v>
      </c>
      <c r="C25" s="10">
        <v>20</v>
      </c>
      <c r="D25" s="11" t="s">
        <v>12</v>
      </c>
      <c r="E25" s="12" t="str">
        <f>IFERROR(IF(D25="", "",VLOOKUP(D25,Sheet2!A:B,2,0)),"")</f>
        <v>SWH</v>
      </c>
      <c r="F25" s="18"/>
    </row>
    <row r="26" spans="1:6" x14ac:dyDescent="0.25">
      <c r="A26" s="17"/>
      <c r="B26" s="12"/>
      <c r="C26" s="12"/>
      <c r="D26" s="12"/>
      <c r="E26" s="12" t="str">
        <f>IFERROR(IF(D26="", "",VLOOKUP(D26,Sheet2!A:B,2,0)),"")</f>
        <v/>
      </c>
      <c r="F26" s="18"/>
    </row>
    <row r="27" spans="1:6" x14ac:dyDescent="0.25">
      <c r="A27" s="17"/>
      <c r="B27" s="12"/>
      <c r="C27" s="12"/>
      <c r="D27" s="12"/>
      <c r="E27" s="12" t="str">
        <f>IFERROR(IF(D27="", "",VLOOKUP(D27,Sheet2!A:B,2,0)),"")</f>
        <v/>
      </c>
      <c r="F27" s="18"/>
    </row>
    <row r="28" spans="1:6" x14ac:dyDescent="0.25">
      <c r="A28" s="17"/>
      <c r="B28" s="12"/>
      <c r="C28" s="12"/>
      <c r="D28" s="12"/>
      <c r="E28" s="12" t="str">
        <f>IFERROR(IF(D28="", "",VLOOKUP(D28,Sheet2!A:B,2,0)),"")</f>
        <v/>
      </c>
      <c r="F28" s="18"/>
    </row>
    <row r="29" spans="1:6" x14ac:dyDescent="0.25">
      <c r="A29" s="17"/>
      <c r="B29" s="12"/>
      <c r="C29" s="12"/>
      <c r="D29" s="12"/>
      <c r="E29" s="12" t="str">
        <f>IFERROR(IF(D29="", "",VLOOKUP(D29,Sheet2!A:B,2,0)),"")</f>
        <v/>
      </c>
      <c r="F29" s="18"/>
    </row>
    <row r="30" spans="1:6" x14ac:dyDescent="0.25">
      <c r="A30" s="17"/>
      <c r="B30" s="12"/>
      <c r="C30" s="12"/>
      <c r="D30" s="12"/>
      <c r="E30" s="12" t="str">
        <f>IFERROR(IF(D30="", "",VLOOKUP(D30,Sheet2!A:B,2,0)),"")</f>
        <v/>
      </c>
      <c r="F30" s="18"/>
    </row>
    <row r="31" spans="1:6" x14ac:dyDescent="0.25">
      <c r="A31" s="17"/>
      <c r="B31" s="12"/>
      <c r="C31" s="12"/>
      <c r="D31" s="12"/>
      <c r="E31" s="12" t="str">
        <f>IFERROR(IF(D31="", "",VLOOKUP(D31,Sheet2!A:B,2,0)),"")</f>
        <v/>
      </c>
      <c r="F31" s="18"/>
    </row>
    <row r="32" spans="1:6" x14ac:dyDescent="0.25">
      <c r="A32" s="17"/>
      <c r="B32" s="12"/>
      <c r="C32" s="12"/>
      <c r="D32" s="12"/>
      <c r="E32" s="12" t="str">
        <f>IFERROR(IF(D32="", "",VLOOKUP(D32,Sheet2!A:B,2,0)),"")</f>
        <v/>
      </c>
      <c r="F32" s="18"/>
    </row>
    <row r="33" spans="1:6" x14ac:dyDescent="0.25">
      <c r="A33" s="17"/>
      <c r="B33" s="12"/>
      <c r="C33" s="12"/>
      <c r="D33" s="12"/>
      <c r="E33" s="12" t="str">
        <f>IFERROR(IF(D33="", "",VLOOKUP(D33,Sheet2!A:B,2,0)),"")</f>
        <v/>
      </c>
      <c r="F33" s="18"/>
    </row>
    <row r="34" spans="1:6" x14ac:dyDescent="0.25">
      <c r="A34" s="17"/>
      <c r="B34" s="12"/>
      <c r="C34" s="12"/>
      <c r="D34" s="12"/>
      <c r="E34" s="12" t="str">
        <f>IFERROR(IF(D34="", "",VLOOKUP(D34,Sheet2!A:B,2,0)),"")</f>
        <v/>
      </c>
      <c r="F34" s="18"/>
    </row>
    <row r="35" spans="1:6" x14ac:dyDescent="0.25">
      <c r="A35" s="17"/>
      <c r="B35" s="12"/>
      <c r="C35" s="12"/>
      <c r="D35" s="12"/>
      <c r="E35" s="12" t="str">
        <f>IFERROR(IF(D35="", "",VLOOKUP(D35,Sheet2!A:B,2,0)),"")</f>
        <v/>
      </c>
      <c r="F35" s="18"/>
    </row>
    <row r="36" spans="1:6" x14ac:dyDescent="0.25">
      <c r="A36" s="17"/>
      <c r="B36" s="12"/>
      <c r="C36" s="12"/>
      <c r="D36" s="12"/>
      <c r="E36" s="12" t="str">
        <f>IFERROR(IF(D36="", "",VLOOKUP(D36,Sheet2!A:B,2,0)),"")</f>
        <v/>
      </c>
      <c r="F36" s="18"/>
    </row>
    <row r="37" spans="1:6" x14ac:dyDescent="0.25">
      <c r="A37" s="17"/>
      <c r="B37" s="12"/>
      <c r="C37" s="12"/>
      <c r="D37" s="12"/>
      <c r="E37" s="12" t="str">
        <f>IFERROR(IF(D37="", "",VLOOKUP(D37,Sheet2!A:B,2,0)),"")</f>
        <v/>
      </c>
      <c r="F37" s="18"/>
    </row>
    <row r="38" spans="1:6" x14ac:dyDescent="0.25">
      <c r="A38" s="17"/>
      <c r="B38" s="12"/>
      <c r="C38" s="12"/>
      <c r="D38" s="12"/>
      <c r="E38" s="12" t="str">
        <f>IFERROR(IF(D38="", "",VLOOKUP(D38,Sheet2!A:B,2,0)),"")</f>
        <v/>
      </c>
      <c r="F38" s="18"/>
    </row>
    <row r="39" spans="1:6" x14ac:dyDescent="0.25">
      <c r="A39" s="17"/>
      <c r="B39" s="12"/>
      <c r="C39" s="12"/>
      <c r="D39" s="12"/>
      <c r="E39" s="12" t="str">
        <f>IFERROR(IF(D39="", "",VLOOKUP(D39,Sheet2!A:B,2,0)),"")</f>
        <v/>
      </c>
      <c r="F39" s="18"/>
    </row>
    <row r="40" spans="1:6" x14ac:dyDescent="0.25">
      <c r="A40" s="17"/>
      <c r="B40" s="12"/>
      <c r="C40" s="12"/>
      <c r="D40" s="12"/>
      <c r="E40" s="12" t="str">
        <f>IFERROR(IF(D40="", "",VLOOKUP(D40,Sheet2!A:B,2,0)),"")</f>
        <v/>
      </c>
      <c r="F40" s="18"/>
    </row>
    <row r="41" spans="1:6" x14ac:dyDescent="0.25">
      <c r="A41" s="17"/>
      <c r="B41" s="12"/>
      <c r="C41" s="12"/>
      <c r="D41" s="12"/>
      <c r="E41" s="12" t="str">
        <f>IFERROR(IF(D41="", "",VLOOKUP(D41,Sheet2!A:B,2,0)),"")</f>
        <v/>
      </c>
      <c r="F41" s="18"/>
    </row>
    <row r="42" spans="1:6" x14ac:dyDescent="0.25">
      <c r="A42" s="17"/>
      <c r="B42" s="12"/>
      <c r="C42" s="12"/>
      <c r="D42" s="12"/>
      <c r="E42" s="12" t="str">
        <f>IFERROR(IF(D42="", "",VLOOKUP(D42,Sheet2!A:B,2,0)),"")</f>
        <v/>
      </c>
      <c r="F42" s="18"/>
    </row>
    <row r="43" spans="1:6" x14ac:dyDescent="0.25">
      <c r="A43" s="17"/>
      <c r="B43" s="12"/>
      <c r="C43" s="12"/>
      <c r="D43" s="12"/>
      <c r="E43" s="12" t="str">
        <f>IFERROR(IF(D43="", "",VLOOKUP(D43,Sheet2!A:B,2,0)),"")</f>
        <v/>
      </c>
      <c r="F43" s="18"/>
    </row>
    <row r="44" spans="1:6" x14ac:dyDescent="0.25">
      <c r="A44" s="17"/>
      <c r="B44" s="12"/>
      <c r="C44" s="12"/>
      <c r="D44" s="12"/>
      <c r="E44" s="12" t="str">
        <f>IFERROR(IF(D44="", "",VLOOKUP(D44,Sheet2!A:B,2,0)),"")</f>
        <v/>
      </c>
      <c r="F44" s="18"/>
    </row>
    <row r="45" spans="1:6" x14ac:dyDescent="0.25">
      <c r="A45" s="17"/>
      <c r="B45" s="12"/>
      <c r="C45" s="12"/>
      <c r="D45" s="12"/>
      <c r="E45" s="12" t="str">
        <f>IFERROR(IF(D45="", "",VLOOKUP(D45,Sheet2!A:B,2,0)),"")</f>
        <v/>
      </c>
      <c r="F45" s="18"/>
    </row>
    <row r="46" spans="1:6" x14ac:dyDescent="0.25">
      <c r="A46" s="17"/>
      <c r="B46" s="12"/>
      <c r="C46" s="12"/>
      <c r="D46" s="12"/>
      <c r="E46" s="12" t="str">
        <f>IFERROR(IF(D46="", "",VLOOKUP(D46,Sheet2!A:B,2,0)),"")</f>
        <v/>
      </c>
      <c r="F46" s="18"/>
    </row>
    <row r="47" spans="1:6" x14ac:dyDescent="0.25">
      <c r="A47" s="17"/>
      <c r="B47" s="12"/>
      <c r="C47" s="12"/>
      <c r="D47" s="12"/>
      <c r="E47" s="12" t="str">
        <f>IFERROR(IF(D47="", "",VLOOKUP(D47,Sheet2!A:B,2,0)),"")</f>
        <v/>
      </c>
      <c r="F47" s="18"/>
    </row>
    <row r="48" spans="1:6" x14ac:dyDescent="0.25">
      <c r="A48" s="17"/>
      <c r="B48" s="12"/>
      <c r="C48" s="12"/>
      <c r="D48" s="12"/>
      <c r="E48" s="12" t="str">
        <f>IFERROR(IF(D48="", "",VLOOKUP(D48,Sheet2!A:B,2,0)),"")</f>
        <v/>
      </c>
      <c r="F48" s="18"/>
    </row>
    <row r="49" spans="1:6" x14ac:dyDescent="0.25">
      <c r="A49" s="17"/>
      <c r="B49" s="12"/>
      <c r="C49" s="12"/>
      <c r="D49" s="12"/>
      <c r="E49" s="12" t="str">
        <f>IFERROR(IF(D49="", "",VLOOKUP(D49,Sheet2!A:B,2,0)),"")</f>
        <v/>
      </c>
      <c r="F49" s="18"/>
    </row>
    <row r="50" spans="1:6" x14ac:dyDescent="0.25">
      <c r="A50" s="17"/>
      <c r="B50" s="12"/>
      <c r="C50" s="12"/>
      <c r="D50" s="12"/>
      <c r="E50" s="12" t="str">
        <f>IFERROR(IF(D50="", "",VLOOKUP(D50,Sheet2!A:B,2,0)),"")</f>
        <v/>
      </c>
      <c r="F50" s="18"/>
    </row>
    <row r="51" spans="1:6" x14ac:dyDescent="0.25">
      <c r="A51" s="17"/>
      <c r="B51" s="12"/>
      <c r="C51" s="12"/>
      <c r="D51" s="12"/>
      <c r="E51" s="12" t="str">
        <f>IFERROR(IF(D51="", "",VLOOKUP(D51,Sheet2!A:B,2,0)),"")</f>
        <v/>
      </c>
      <c r="F51" s="18"/>
    </row>
    <row r="52" spans="1:6" x14ac:dyDescent="0.25">
      <c r="A52" s="17"/>
      <c r="B52" s="12"/>
      <c r="C52" s="12"/>
      <c r="D52" s="12"/>
      <c r="E52" s="12" t="str">
        <f>IFERROR(IF(D52="", "",VLOOKUP(D52,Sheet2!A:B,2,0)),"")</f>
        <v/>
      </c>
      <c r="F52" s="18"/>
    </row>
    <row r="53" spans="1:6" x14ac:dyDescent="0.25">
      <c r="A53" s="17"/>
      <c r="B53" s="12"/>
      <c r="C53" s="12"/>
      <c r="D53" s="12"/>
      <c r="E53" s="12" t="str">
        <f>IFERROR(IF(D53="", "",VLOOKUP(D53,Sheet2!A:B,2,0)),"")</f>
        <v/>
      </c>
      <c r="F53" s="18"/>
    </row>
    <row r="54" spans="1:6" x14ac:dyDescent="0.25">
      <c r="A54" s="17"/>
      <c r="B54" s="12"/>
      <c r="C54" s="12"/>
      <c r="D54" s="12"/>
      <c r="E54" s="12" t="str">
        <f>IFERROR(IF(D54="", "",VLOOKUP(D54,Sheet2!A:B,2,0)),"")</f>
        <v/>
      </c>
      <c r="F54" s="18"/>
    </row>
    <row r="55" spans="1:6" x14ac:dyDescent="0.25">
      <c r="A55" s="17"/>
      <c r="B55" s="12"/>
      <c r="C55" s="12"/>
      <c r="D55" s="12"/>
      <c r="E55" s="12" t="str">
        <f>IFERROR(IF(D55="", "",VLOOKUP(D55,Sheet2!A:B,2,0)),"")</f>
        <v/>
      </c>
      <c r="F55" s="18"/>
    </row>
    <row r="56" spans="1:6" x14ac:dyDescent="0.25">
      <c r="A56" s="17"/>
      <c r="B56" s="12"/>
      <c r="C56" s="12"/>
      <c r="D56" s="12"/>
      <c r="E56" s="12" t="str">
        <f>IFERROR(IF(D56="", "",VLOOKUP(D56,Sheet2!A:B,2,0)),"")</f>
        <v/>
      </c>
      <c r="F56" s="18"/>
    </row>
    <row r="57" spans="1:6" x14ac:dyDescent="0.25">
      <c r="A57" s="17"/>
      <c r="B57" s="12"/>
      <c r="C57" s="12"/>
      <c r="D57" s="12"/>
      <c r="E57" s="12" t="str">
        <f>IFERROR(IF(D57="", "",VLOOKUP(D57,Sheet2!A:B,2,0)),"")</f>
        <v/>
      </c>
      <c r="F57" s="18"/>
    </row>
    <row r="58" spans="1:6" x14ac:dyDescent="0.25">
      <c r="A58" s="17"/>
      <c r="B58" s="12"/>
      <c r="C58" s="12"/>
      <c r="D58" s="12"/>
      <c r="E58" s="12" t="str">
        <f>IFERROR(IF(D58="", "",VLOOKUP(D58,Sheet2!A:B,2,0)),"")</f>
        <v/>
      </c>
      <c r="F58" s="18"/>
    </row>
    <row r="59" spans="1:6" x14ac:dyDescent="0.25">
      <c r="A59" s="17"/>
      <c r="B59" s="12"/>
      <c r="C59" s="12"/>
      <c r="D59" s="12"/>
      <c r="E59" s="12" t="str">
        <f>IFERROR(IF(D59="", "",VLOOKUP(D59,Sheet2!A:B,2,0)),"")</f>
        <v/>
      </c>
      <c r="F59" s="18"/>
    </row>
    <row r="60" spans="1:6" x14ac:dyDescent="0.25">
      <c r="A60" s="17"/>
      <c r="B60" s="12"/>
      <c r="C60" s="12"/>
      <c r="D60" s="12"/>
      <c r="E60" s="12" t="str">
        <f>IFERROR(IF(D60="", "",VLOOKUP(D60,Sheet2!A:B,2,0)),"")</f>
        <v/>
      </c>
      <c r="F60" s="16"/>
    </row>
  </sheetData>
  <mergeCells count="2">
    <mergeCell ref="A1:A60"/>
    <mergeCell ref="F1:F59"/>
  </mergeCells>
  <hyperlinks>
    <hyperlink ref="B2" r:id="rId1" display="https://minix.wrenkitchens.com/quartz_details/38883826/BARTON_QUARTZ?deliveryDate=2022-09-30" xr:uid="{3588695F-B1C5-4D4C-93DF-9E4EF82EA9EF}"/>
    <hyperlink ref="B3" r:id="rId2" display="https://minix.wrenkitchens.com/quartz_details/38870291/BARTON_QUARTZ?deliveryDate=2022-09-30" xr:uid="{A871B103-EA88-45FF-92E5-00C883F76174}"/>
    <hyperlink ref="B4" r:id="rId3" display="https://minix.wrenkitchens.com/quartz_details/37184484/BARTON_QUARTZ?deliveryDate=2022-09-30" xr:uid="{BF37A55C-4CEB-4DAB-8B90-BBF71F1CAF74}"/>
    <hyperlink ref="B5" r:id="rId4" display="https://minix.wrenkitchens.com/quartz_details/37991973/BARTON_QUARTZ?deliveryDate=2022-09-30" xr:uid="{418048FB-4EA9-47B3-B7B7-0CB92E0E25EA}"/>
    <hyperlink ref="B6" r:id="rId5" display="https://minix.wrenkitchens.com/quartz_details/38014800/BARTON_QUARTZ?deliveryDate=2022-09-30" xr:uid="{FA961CA7-C901-4F58-A405-103BE55D04DC}"/>
    <hyperlink ref="B7" r:id="rId6" display="https://minix.wrenkitchens.com/quartz_details/38024756/BARTON_QUARTZ?deliveryDate=2022-09-30" xr:uid="{185371B7-409B-4757-B9C3-0F64C8870ADB}"/>
    <hyperlink ref="B8" r:id="rId7" display="https://minix.wrenkitchens.com/quartz_details/38349584/BARTON_QUARTZ?deliveryDate=2022-09-30" xr:uid="{36479C45-D296-4177-B45E-07F65954E06D}"/>
    <hyperlink ref="B9" r:id="rId8" display="https://minix.wrenkitchens.com/quartz_details/38883811/BARTON_QUARTZ?deliveryDate=2022-09-30" xr:uid="{0903CFEA-29DA-4D2C-B1EA-63EEE6B4BEF9}"/>
    <hyperlink ref="B10" r:id="rId9" display="https://minix.wrenkitchens.com/quartz_details/38877063/BARTON_QUARTZ?deliveryDate=2022-09-30" xr:uid="{81B8977F-504D-453C-BEA4-DAC4A96E9409}"/>
    <hyperlink ref="B11" r:id="rId10" display="https://minix.wrenkitchens.com/quartz_details/37046402/BARTON_QUARTZ?deliveryDate=2022-09-30" xr:uid="{F3FE829C-651C-4469-A452-C133D29ADD37}"/>
    <hyperlink ref="B12" r:id="rId11" display="https://minix.wrenkitchens.com/quartz_details/37581439/BARTON_QUARTZ?deliveryDate=2022-09-30" xr:uid="{2AB973AA-C21D-4A5B-A0DA-5322924E84CF}"/>
    <hyperlink ref="B13" r:id="rId12" display="https://minix.wrenkitchens.com/quartz_details/38714874/BARTON_QUARTZ?deliveryDate=2022-09-30" xr:uid="{908F9480-24F8-4584-9353-5FC0E73BC4A3}"/>
    <hyperlink ref="B14" r:id="rId13" display="https://minix.wrenkitchens.com/quartz_details/38842988/BARTON_QUARTZ?deliveryDate=2022-09-30" xr:uid="{7B31B138-899D-4249-9F5C-14ECEB3C409C}"/>
    <hyperlink ref="B15" r:id="rId14" display="https://minix.wrenkitchens.com/quartz_details/38879444/BARTON_QUARTZ?deliveryDate=2022-09-30" xr:uid="{053296B3-F332-4094-826D-12F1A1273167}"/>
    <hyperlink ref="B16" r:id="rId15" display="https://minix.wrenkitchens.com/quartz_details/38828316/BARTON_QUARTZ?deliveryDate=2022-09-30" xr:uid="{DBB4CEEB-8CD3-41CF-A7C5-716956A71709}"/>
    <hyperlink ref="B17" r:id="rId16" display="https://minix.wrenkitchens.com/quartz_details/38883772/BARTON_QUARTZ?deliveryDate=2022-09-30" xr:uid="{85BA7C70-E43C-4BEB-9EA4-4C413097BC08}"/>
    <hyperlink ref="B18" r:id="rId17" display="https://minix.wrenkitchens.com/quartz_details/38884593/BARTON_QUARTZ?deliveryDate=2022-09-30" xr:uid="{4A28F3FB-EDC4-484E-AB9A-D8D2DB06C582}"/>
    <hyperlink ref="B19" r:id="rId18" display="https://minix.wrenkitchens.com/quartz_details/38804087/BARTON_QUARTZ?deliveryDate=2022-09-30" xr:uid="{AB742D6E-4C5C-48DC-B118-6A4604F13A59}"/>
    <hyperlink ref="B20" r:id="rId19" display="https://minix.wrenkitchens.com/quartz_details/38880462/BARTON_QUARTZ?deliveryDate=2022-09-30" xr:uid="{85C6F012-2903-4EB7-9E7A-434F53C319C2}"/>
    <hyperlink ref="B21" r:id="rId20" display="https://minix.wrenkitchens.com/quartz_details/38842262/BARTON_QUARTZ?deliveryDate=2022-09-30" xr:uid="{2A65D44E-B656-4AC7-A1DC-36DE341C9BCB}"/>
    <hyperlink ref="B22" r:id="rId21" display="https://minix.wrenkitchens.com/quartz_details/38870779/BARTON_QUARTZ?deliveryDate=2022-09-30" xr:uid="{0A5CFFBA-DDA1-4743-96C3-F3B334D9B1D9}"/>
    <hyperlink ref="B23" r:id="rId22" display="https://minix.wrenkitchens.com/quartz_details/38886207/BARTON_QUARTZ?deliveryDate=2022-09-30" xr:uid="{56F7B838-50C0-485B-8075-6037D7E69152}"/>
    <hyperlink ref="B24" r:id="rId23" display="https://minix.wrenkitchens.com/quartz_details/38887576/BARTON_QUARTZ?deliveryDate=2022-09-30" xr:uid="{F2DAD731-1F31-465E-9203-D52D169836EF}"/>
    <hyperlink ref="B25" r:id="rId24" display="https://minix.wrenkitchens.com/quartz_details/38887418/BARTON_QUARTZ?deliveryDate=2022-09-30" xr:uid="{BE0B9205-5A2B-4A27-8D97-FE68B29998F3}"/>
  </hyperlinks>
  <pageMargins left="0.511811024" right="0.511811024" top="0.78740157499999996" bottom="0.78740157499999996" header="0.31496062000000002" footer="0.31496062000000002"/>
  <pageSetup orientation="portrait" r:id="rId25"/>
  <drawing r:id="rId26"/>
  <legacyDrawing r:id="rId27"/>
  <controls>
    <mc:AlternateContent xmlns:mc="http://schemas.openxmlformats.org/markup-compatibility/2006">
      <mc:Choice Requires="x14">
        <control shapeId="1025" r:id="rId28" name="CommandButton1">
          <controlPr defaultSize="0" autoLine="0" r:id="rId29">
            <anchor moveWithCells="1">
              <from>
                <xdr:col>0</xdr:col>
                <xdr:colOff>142875</xdr:colOff>
                <xdr:row>4</xdr:row>
                <xdr:rowOff>66675</xdr:rowOff>
              </from>
              <to>
                <xdr:col>0</xdr:col>
                <xdr:colOff>1057275</xdr:colOff>
                <xdr:row>5</xdr:row>
                <xdr:rowOff>180975</xdr:rowOff>
              </to>
            </anchor>
          </controlPr>
        </control>
      </mc:Choice>
      <mc:Fallback>
        <control shapeId="1025" r:id="rId28" name="CommandButton1"/>
      </mc:Fallback>
    </mc:AlternateContent>
    <mc:AlternateContent xmlns:mc="http://schemas.openxmlformats.org/markup-compatibility/2006">
      <mc:Choice Requires="x14">
        <control shapeId="1026" r:id="rId30" name="Button 2">
          <controlPr defaultSize="0" print="0" autoFill="0" autoPict="0" macro="[0]!Módulo2.Macro_loop">
            <anchor moveWithCells="1">
              <from>
                <xdr:col>0</xdr:col>
                <xdr:colOff>581025</xdr:colOff>
                <xdr:row>10</xdr:row>
                <xdr:rowOff>152400</xdr:rowOff>
              </from>
              <to>
                <xdr:col>0</xdr:col>
                <xdr:colOff>1123950</xdr:colOff>
                <xdr:row>12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43799-7689-4E49-94F2-D0DD251B872B}">
  <sheetPr codeName="Sheet1"/>
  <dimension ref="A1:C120"/>
  <sheetViews>
    <sheetView workbookViewId="0">
      <selection activeCell="F13" sqref="F13"/>
    </sheetView>
  </sheetViews>
  <sheetFormatPr defaultColWidth="27.140625" defaultRowHeight="15" x14ac:dyDescent="0.25"/>
  <sheetData>
    <row r="1" spans="1:3" x14ac:dyDescent="0.25">
      <c r="A1" s="3">
        <v>38883826</v>
      </c>
      <c r="B1" s="2">
        <v>30</v>
      </c>
      <c r="C1" s="5" t="s">
        <v>0</v>
      </c>
    </row>
    <row r="2" spans="1:3" x14ac:dyDescent="0.25">
      <c r="A2" s="3">
        <v>38870291</v>
      </c>
      <c r="B2" s="1" t="s">
        <v>1</v>
      </c>
      <c r="C2" s="4" t="s">
        <v>2</v>
      </c>
    </row>
    <row r="3" spans="1:3" x14ac:dyDescent="0.25">
      <c r="A3" s="3">
        <v>37184484</v>
      </c>
      <c r="B3" s="1">
        <v>20</v>
      </c>
      <c r="C3" s="4" t="s">
        <v>2</v>
      </c>
    </row>
    <row r="4" spans="1:3" x14ac:dyDescent="0.25">
      <c r="A4" s="3">
        <v>37991973</v>
      </c>
      <c r="B4" s="1" t="s">
        <v>1</v>
      </c>
      <c r="C4" s="4" t="s">
        <v>2</v>
      </c>
    </row>
    <row r="5" spans="1:3" x14ac:dyDescent="0.25">
      <c r="A5" s="3">
        <v>38014800</v>
      </c>
      <c r="B5" s="1" t="s">
        <v>1</v>
      </c>
      <c r="C5" s="4" t="s">
        <v>2</v>
      </c>
    </row>
    <row r="6" spans="1:3" x14ac:dyDescent="0.25">
      <c r="A6" s="3">
        <v>38024756</v>
      </c>
      <c r="B6" s="1" t="s">
        <v>1</v>
      </c>
      <c r="C6" s="4" t="s">
        <v>2</v>
      </c>
    </row>
    <row r="7" spans="1:3" x14ac:dyDescent="0.25">
      <c r="A7" s="3">
        <v>38349584</v>
      </c>
      <c r="B7" s="1">
        <v>30</v>
      </c>
      <c r="C7" s="4" t="s">
        <v>2</v>
      </c>
    </row>
    <row r="8" spans="1:3" x14ac:dyDescent="0.25">
      <c r="A8" s="3">
        <v>38883811</v>
      </c>
      <c r="B8" s="2">
        <v>20</v>
      </c>
      <c r="C8" s="5" t="s">
        <v>3</v>
      </c>
    </row>
    <row r="9" spans="1:3" x14ac:dyDescent="0.25">
      <c r="A9" s="3">
        <v>38877063</v>
      </c>
      <c r="B9" s="2">
        <v>20</v>
      </c>
      <c r="C9" s="5" t="s">
        <v>4</v>
      </c>
    </row>
    <row r="10" spans="1:3" x14ac:dyDescent="0.25">
      <c r="A10" s="3">
        <v>37046402</v>
      </c>
      <c r="B10" s="1" t="s">
        <v>1</v>
      </c>
      <c r="C10" s="4" t="s">
        <v>5</v>
      </c>
    </row>
    <row r="11" spans="1:3" x14ac:dyDescent="0.25">
      <c r="A11" s="3">
        <v>37581439</v>
      </c>
      <c r="B11" s="1" t="s">
        <v>1</v>
      </c>
      <c r="C11" s="4" t="s">
        <v>5</v>
      </c>
    </row>
    <row r="12" spans="1:3" x14ac:dyDescent="0.25">
      <c r="A12" s="3">
        <v>38714874</v>
      </c>
      <c r="B12" s="2" t="s">
        <v>1</v>
      </c>
      <c r="C12" s="5" t="s">
        <v>6</v>
      </c>
    </row>
    <row r="13" spans="1:3" x14ac:dyDescent="0.25">
      <c r="A13" s="3">
        <v>38842988</v>
      </c>
      <c r="B13" s="2">
        <v>20</v>
      </c>
      <c r="C13" s="5" t="s">
        <v>7</v>
      </c>
    </row>
    <row r="14" spans="1:3" x14ac:dyDescent="0.25">
      <c r="A14" s="3">
        <v>38879444</v>
      </c>
      <c r="B14" s="2">
        <v>20</v>
      </c>
      <c r="C14" s="5" t="s">
        <v>7</v>
      </c>
    </row>
    <row r="15" spans="1:3" x14ac:dyDescent="0.25">
      <c r="A15" s="3">
        <v>38828316</v>
      </c>
      <c r="B15" s="2">
        <v>20</v>
      </c>
      <c r="C15" s="5" t="s">
        <v>8</v>
      </c>
    </row>
    <row r="16" spans="1:3" x14ac:dyDescent="0.25">
      <c r="A16" s="3">
        <v>38883772</v>
      </c>
      <c r="B16" s="2">
        <v>30</v>
      </c>
      <c r="C16" s="5" t="s">
        <v>8</v>
      </c>
    </row>
    <row r="17" spans="1:3" x14ac:dyDescent="0.25">
      <c r="A17" s="3">
        <v>38884593</v>
      </c>
      <c r="B17" s="2">
        <v>20</v>
      </c>
      <c r="C17" s="5" t="s">
        <v>8</v>
      </c>
    </row>
    <row r="18" spans="1:3" x14ac:dyDescent="0.25">
      <c r="A18" s="3">
        <v>38804087</v>
      </c>
      <c r="B18" s="2">
        <v>20</v>
      </c>
      <c r="C18" s="5" t="s">
        <v>9</v>
      </c>
    </row>
    <row r="19" spans="1:3" x14ac:dyDescent="0.25">
      <c r="A19" s="3">
        <v>38880462</v>
      </c>
      <c r="B19" s="2">
        <v>30</v>
      </c>
      <c r="C19" s="5" t="s">
        <v>10</v>
      </c>
    </row>
    <row r="20" spans="1:3" x14ac:dyDescent="0.25">
      <c r="A20" s="3">
        <v>38842262</v>
      </c>
      <c r="B20" s="2" t="s">
        <v>1</v>
      </c>
      <c r="C20" s="5" t="s">
        <v>11</v>
      </c>
    </row>
    <row r="21" spans="1:3" x14ac:dyDescent="0.25">
      <c r="A21" s="3">
        <v>38870779</v>
      </c>
      <c r="B21" s="2">
        <v>30</v>
      </c>
      <c r="C21" s="5" t="s">
        <v>11</v>
      </c>
    </row>
    <row r="22" spans="1:3" x14ac:dyDescent="0.25">
      <c r="A22" s="3">
        <v>38886207</v>
      </c>
      <c r="B22" s="2">
        <v>20</v>
      </c>
      <c r="C22" s="5" t="s">
        <v>11</v>
      </c>
    </row>
    <row r="23" spans="1:3" x14ac:dyDescent="0.25">
      <c r="A23" s="3">
        <v>38887576</v>
      </c>
      <c r="B23" s="2">
        <v>30</v>
      </c>
      <c r="C23" s="5" t="s">
        <v>11</v>
      </c>
    </row>
    <row r="24" spans="1:3" x14ac:dyDescent="0.25">
      <c r="A24" s="3">
        <v>38887418</v>
      </c>
      <c r="B24" s="2">
        <v>20</v>
      </c>
      <c r="C24" s="5" t="s">
        <v>12</v>
      </c>
    </row>
    <row r="25" spans="1:3" x14ac:dyDescent="0.25">
      <c r="A25" s="3">
        <v>38821220</v>
      </c>
      <c r="B25" s="2">
        <v>20</v>
      </c>
      <c r="C25" s="5" t="s">
        <v>0</v>
      </c>
    </row>
    <row r="26" spans="1:3" x14ac:dyDescent="0.25">
      <c r="A26" s="3">
        <v>38039537</v>
      </c>
      <c r="B26" s="1">
        <v>20</v>
      </c>
      <c r="C26" s="4" t="s">
        <v>2</v>
      </c>
    </row>
    <row r="27" spans="1:3" x14ac:dyDescent="0.25">
      <c r="A27" s="3">
        <v>37913458</v>
      </c>
      <c r="B27" s="1">
        <v>20</v>
      </c>
      <c r="C27" s="4" t="s">
        <v>2</v>
      </c>
    </row>
    <row r="28" spans="1:3" x14ac:dyDescent="0.25">
      <c r="A28" s="3">
        <v>37947203</v>
      </c>
      <c r="B28" s="1" t="s">
        <v>1</v>
      </c>
      <c r="C28" s="4" t="s">
        <v>2</v>
      </c>
    </row>
    <row r="29" spans="1:3" x14ac:dyDescent="0.25">
      <c r="A29" s="3">
        <v>38018217</v>
      </c>
      <c r="B29" s="1" t="s">
        <v>1</v>
      </c>
      <c r="C29" s="4" t="s">
        <v>2</v>
      </c>
    </row>
    <row r="30" spans="1:3" x14ac:dyDescent="0.25">
      <c r="A30" s="3">
        <v>38040492</v>
      </c>
      <c r="B30" s="1">
        <v>20</v>
      </c>
      <c r="C30" s="4" t="s">
        <v>2</v>
      </c>
    </row>
    <row r="31" spans="1:3" x14ac:dyDescent="0.25">
      <c r="A31" s="3">
        <v>38510678</v>
      </c>
      <c r="B31" s="1">
        <v>20</v>
      </c>
      <c r="C31" s="4" t="s">
        <v>2</v>
      </c>
    </row>
    <row r="32" spans="1:3" x14ac:dyDescent="0.25">
      <c r="A32" s="3">
        <v>37079351</v>
      </c>
      <c r="B32" s="1">
        <v>20</v>
      </c>
      <c r="C32" s="4" t="s">
        <v>13</v>
      </c>
    </row>
    <row r="33" spans="1:3" x14ac:dyDescent="0.25">
      <c r="A33" s="3">
        <v>38063200</v>
      </c>
      <c r="B33" s="1" t="s">
        <v>1</v>
      </c>
      <c r="C33" s="4" t="s">
        <v>13</v>
      </c>
    </row>
    <row r="34" spans="1:3" x14ac:dyDescent="0.25">
      <c r="A34" s="3">
        <v>37905159</v>
      </c>
      <c r="B34" s="1" t="s">
        <v>1</v>
      </c>
      <c r="C34" s="4" t="s">
        <v>14</v>
      </c>
    </row>
    <row r="35" spans="1:3" x14ac:dyDescent="0.25">
      <c r="A35" s="3">
        <v>37774638</v>
      </c>
      <c r="B35" s="1" t="s">
        <v>1</v>
      </c>
      <c r="C35" s="4" t="s">
        <v>5</v>
      </c>
    </row>
    <row r="36" spans="1:3" x14ac:dyDescent="0.25">
      <c r="A36" s="3">
        <v>38690823</v>
      </c>
      <c r="B36" s="2">
        <v>20</v>
      </c>
      <c r="C36" s="5" t="s">
        <v>15</v>
      </c>
    </row>
    <row r="37" spans="1:3" x14ac:dyDescent="0.25">
      <c r="A37" s="3">
        <v>37394176</v>
      </c>
      <c r="B37" s="1" t="s">
        <v>1</v>
      </c>
      <c r="C37" s="4" t="s">
        <v>6</v>
      </c>
    </row>
    <row r="38" spans="1:3" x14ac:dyDescent="0.25">
      <c r="A38" s="3">
        <v>38299452</v>
      </c>
      <c r="B38" s="1" t="s">
        <v>1</v>
      </c>
      <c r="C38" s="4" t="s">
        <v>7</v>
      </c>
    </row>
    <row r="39" spans="1:3" x14ac:dyDescent="0.25">
      <c r="A39" s="3">
        <v>38850458</v>
      </c>
      <c r="B39" s="2">
        <v>20</v>
      </c>
      <c r="C39" s="5" t="s">
        <v>7</v>
      </c>
    </row>
    <row r="40" spans="1:3" x14ac:dyDescent="0.25">
      <c r="A40" s="3">
        <v>34630781</v>
      </c>
      <c r="B40" s="1" t="s">
        <v>1</v>
      </c>
      <c r="C40" s="4" t="s">
        <v>8</v>
      </c>
    </row>
    <row r="41" spans="1:3" x14ac:dyDescent="0.25">
      <c r="A41" s="3">
        <v>38253065</v>
      </c>
      <c r="B41" s="1" t="s">
        <v>1</v>
      </c>
      <c r="C41" s="4" t="s">
        <v>8</v>
      </c>
    </row>
    <row r="42" spans="1:3" x14ac:dyDescent="0.25">
      <c r="A42" s="3">
        <v>37422251</v>
      </c>
      <c r="B42" s="1" t="s">
        <v>1</v>
      </c>
      <c r="C42" s="4" t="s">
        <v>8</v>
      </c>
    </row>
    <row r="43" spans="1:3" x14ac:dyDescent="0.25">
      <c r="A43" s="3">
        <v>37306258</v>
      </c>
      <c r="B43" s="1" t="s">
        <v>1</v>
      </c>
      <c r="C43" s="4" t="s">
        <v>8</v>
      </c>
    </row>
    <row r="44" spans="1:3" x14ac:dyDescent="0.25">
      <c r="A44" s="3">
        <v>36980406</v>
      </c>
      <c r="B44" s="1" t="s">
        <v>1</v>
      </c>
      <c r="C44" s="4" t="s">
        <v>9</v>
      </c>
    </row>
    <row r="45" spans="1:3" x14ac:dyDescent="0.25">
      <c r="A45" s="3">
        <v>38878899</v>
      </c>
      <c r="B45" s="2">
        <v>20</v>
      </c>
      <c r="C45" s="5" t="s">
        <v>9</v>
      </c>
    </row>
    <row r="46" spans="1:3" x14ac:dyDescent="0.25">
      <c r="A46" s="3">
        <v>38847533</v>
      </c>
      <c r="B46" s="2">
        <v>30</v>
      </c>
      <c r="C46" s="5" t="s">
        <v>10</v>
      </c>
    </row>
    <row r="47" spans="1:3" x14ac:dyDescent="0.25">
      <c r="A47" s="3">
        <v>38496779</v>
      </c>
      <c r="B47" s="2" t="s">
        <v>1</v>
      </c>
      <c r="C47" s="5" t="s">
        <v>0</v>
      </c>
    </row>
    <row r="48" spans="1:3" x14ac:dyDescent="0.25">
      <c r="A48" s="3">
        <v>38870086</v>
      </c>
      <c r="B48" s="2" t="s">
        <v>1</v>
      </c>
      <c r="C48" s="5" t="s">
        <v>0</v>
      </c>
    </row>
    <row r="49" spans="1:3" x14ac:dyDescent="0.25">
      <c r="A49" s="3">
        <v>36995704</v>
      </c>
      <c r="B49" s="1" t="s">
        <v>1</v>
      </c>
      <c r="C49" s="4" t="s">
        <v>2</v>
      </c>
    </row>
    <row r="50" spans="1:3" x14ac:dyDescent="0.25">
      <c r="A50" s="3">
        <v>37542396</v>
      </c>
      <c r="B50" s="1">
        <v>20</v>
      </c>
      <c r="C50" s="4" t="s">
        <v>2</v>
      </c>
    </row>
    <row r="51" spans="1:3" x14ac:dyDescent="0.25">
      <c r="A51" s="3">
        <v>37931886</v>
      </c>
      <c r="B51" s="1">
        <v>20</v>
      </c>
      <c r="C51" s="4" t="s">
        <v>2</v>
      </c>
    </row>
    <row r="52" spans="1:3" x14ac:dyDescent="0.25">
      <c r="A52" s="3">
        <v>36374441</v>
      </c>
      <c r="B52" s="1" t="s">
        <v>1</v>
      </c>
      <c r="C52" s="4" t="s">
        <v>2</v>
      </c>
    </row>
    <row r="53" spans="1:3" x14ac:dyDescent="0.25">
      <c r="A53" s="3">
        <v>38688674</v>
      </c>
      <c r="B53" s="2">
        <v>20</v>
      </c>
      <c r="C53" s="5" t="s">
        <v>16</v>
      </c>
    </row>
    <row r="54" spans="1:3" x14ac:dyDescent="0.25">
      <c r="A54" s="3">
        <v>38843889</v>
      </c>
      <c r="B54" s="2">
        <v>20</v>
      </c>
      <c r="C54" s="5" t="s">
        <v>3</v>
      </c>
    </row>
    <row r="55" spans="1:3" x14ac:dyDescent="0.25">
      <c r="A55" s="3">
        <v>36950675</v>
      </c>
      <c r="B55" s="1" t="s">
        <v>1</v>
      </c>
      <c r="C55" s="4" t="s">
        <v>13</v>
      </c>
    </row>
    <row r="56" spans="1:3" x14ac:dyDescent="0.25">
      <c r="A56" s="3">
        <v>37690741</v>
      </c>
      <c r="B56" s="1" t="s">
        <v>1</v>
      </c>
      <c r="C56" s="4" t="s">
        <v>13</v>
      </c>
    </row>
    <row r="57" spans="1:3" x14ac:dyDescent="0.25">
      <c r="A57" s="3">
        <v>38356068</v>
      </c>
      <c r="B57" s="1">
        <v>20</v>
      </c>
      <c r="C57" s="4" t="s">
        <v>13</v>
      </c>
    </row>
    <row r="58" spans="1:3" x14ac:dyDescent="0.25">
      <c r="A58" s="3">
        <v>38496669</v>
      </c>
      <c r="B58" s="2">
        <v>20</v>
      </c>
      <c r="C58" s="5" t="s">
        <v>14</v>
      </c>
    </row>
    <row r="59" spans="1:3" x14ac:dyDescent="0.25">
      <c r="A59" s="3">
        <v>38626707</v>
      </c>
      <c r="B59" s="2">
        <v>30</v>
      </c>
      <c r="C59" s="5" t="s">
        <v>14</v>
      </c>
    </row>
    <row r="60" spans="1:3" x14ac:dyDescent="0.25">
      <c r="A60" s="3">
        <v>36138613</v>
      </c>
      <c r="B60" s="1">
        <v>20</v>
      </c>
      <c r="C60" s="4" t="s">
        <v>5</v>
      </c>
    </row>
    <row r="61" spans="1:3" x14ac:dyDescent="0.25">
      <c r="A61" s="3">
        <v>38773101</v>
      </c>
      <c r="B61" s="2" t="s">
        <v>1</v>
      </c>
      <c r="C61" s="5" t="s">
        <v>5</v>
      </c>
    </row>
    <row r="62" spans="1:3" x14ac:dyDescent="0.25">
      <c r="A62" s="3">
        <v>38871882</v>
      </c>
      <c r="B62" s="2">
        <v>20</v>
      </c>
      <c r="C62" s="5" t="s">
        <v>5</v>
      </c>
    </row>
    <row r="63" spans="1:3" x14ac:dyDescent="0.25">
      <c r="A63" s="3">
        <v>38406337</v>
      </c>
      <c r="B63" s="1" t="s">
        <v>1</v>
      </c>
      <c r="C63" s="4" t="s">
        <v>5</v>
      </c>
    </row>
    <row r="64" spans="1:3" x14ac:dyDescent="0.25">
      <c r="A64" s="3">
        <v>37045978</v>
      </c>
      <c r="B64" s="1" t="s">
        <v>1</v>
      </c>
      <c r="C64" s="4" t="s">
        <v>5</v>
      </c>
    </row>
    <row r="65" spans="1:3" x14ac:dyDescent="0.25">
      <c r="A65" s="3">
        <v>38496691</v>
      </c>
      <c r="B65" s="2">
        <v>20</v>
      </c>
      <c r="C65" s="5" t="s">
        <v>15</v>
      </c>
    </row>
    <row r="66" spans="1:3" x14ac:dyDescent="0.25">
      <c r="A66" s="3">
        <v>38840363</v>
      </c>
      <c r="B66" s="2">
        <v>30</v>
      </c>
      <c r="C66" s="5" t="s">
        <v>6</v>
      </c>
    </row>
    <row r="67" spans="1:3" x14ac:dyDescent="0.25">
      <c r="A67" s="3">
        <v>37810204</v>
      </c>
      <c r="B67" s="1">
        <v>20</v>
      </c>
      <c r="C67" s="4" t="s">
        <v>6</v>
      </c>
    </row>
    <row r="68" spans="1:3" x14ac:dyDescent="0.25">
      <c r="A68" s="3">
        <v>38773144</v>
      </c>
      <c r="B68" s="2">
        <v>20</v>
      </c>
      <c r="C68" s="5" t="s">
        <v>8</v>
      </c>
    </row>
    <row r="69" spans="1:3" x14ac:dyDescent="0.25">
      <c r="A69" s="3">
        <v>38816320</v>
      </c>
      <c r="B69" s="2">
        <v>20</v>
      </c>
      <c r="C69" s="5" t="s">
        <v>8</v>
      </c>
    </row>
    <row r="70" spans="1:3" x14ac:dyDescent="0.25">
      <c r="A70" s="3">
        <v>38849669</v>
      </c>
      <c r="B70" s="2">
        <v>20</v>
      </c>
      <c r="C70" s="5" t="s">
        <v>8</v>
      </c>
    </row>
    <row r="71" spans="1:3" x14ac:dyDescent="0.25">
      <c r="A71" s="3">
        <v>38756329</v>
      </c>
      <c r="B71" s="2">
        <v>20</v>
      </c>
      <c r="C71" s="5" t="s">
        <v>9</v>
      </c>
    </row>
    <row r="72" spans="1:3" x14ac:dyDescent="0.25">
      <c r="A72" s="3">
        <v>38152314</v>
      </c>
      <c r="B72" s="1" t="s">
        <v>1</v>
      </c>
      <c r="C72" s="4" t="s">
        <v>9</v>
      </c>
    </row>
    <row r="73" spans="1:3" x14ac:dyDescent="0.25">
      <c r="A73" s="3">
        <v>38496759</v>
      </c>
      <c r="B73" s="2">
        <v>20</v>
      </c>
      <c r="C73" s="5" t="s">
        <v>10</v>
      </c>
    </row>
    <row r="74" spans="1:3" x14ac:dyDescent="0.25">
      <c r="A74" s="3">
        <v>38550746</v>
      </c>
      <c r="B74" s="2">
        <v>30</v>
      </c>
      <c r="C74" s="5" t="s">
        <v>11</v>
      </c>
    </row>
    <row r="75" spans="1:3" x14ac:dyDescent="0.25">
      <c r="A75" s="3">
        <v>38848930</v>
      </c>
      <c r="B75" s="2">
        <v>20</v>
      </c>
      <c r="C75" s="5" t="s">
        <v>11</v>
      </c>
    </row>
    <row r="76" spans="1:3" x14ac:dyDescent="0.25">
      <c r="A76" s="3">
        <v>38824944</v>
      </c>
      <c r="B76" s="2">
        <v>20</v>
      </c>
      <c r="C76" s="5" t="s">
        <v>11</v>
      </c>
    </row>
    <row r="77" spans="1:3" x14ac:dyDescent="0.25">
      <c r="A77" s="3">
        <v>38848021</v>
      </c>
      <c r="B77" s="2">
        <v>20</v>
      </c>
      <c r="C77" s="5" t="s">
        <v>11</v>
      </c>
    </row>
    <row r="78" spans="1:3" x14ac:dyDescent="0.25">
      <c r="A78" s="3">
        <v>38840235</v>
      </c>
      <c r="B78" s="2">
        <v>30</v>
      </c>
      <c r="C78" s="5" t="s">
        <v>11</v>
      </c>
    </row>
    <row r="79" spans="1:3" x14ac:dyDescent="0.25">
      <c r="A79" s="3">
        <v>38815533</v>
      </c>
      <c r="B79" s="2">
        <v>20</v>
      </c>
      <c r="C79" s="5" t="s">
        <v>11</v>
      </c>
    </row>
    <row r="80" spans="1:3" x14ac:dyDescent="0.25">
      <c r="A80" s="3">
        <v>38626667</v>
      </c>
      <c r="B80" s="2">
        <v>20</v>
      </c>
      <c r="C80" s="5" t="s">
        <v>11</v>
      </c>
    </row>
    <row r="81" spans="1:3" x14ac:dyDescent="0.25">
      <c r="A81" s="3">
        <v>38869769</v>
      </c>
      <c r="B81" s="2">
        <v>20</v>
      </c>
      <c r="C81" s="5" t="s">
        <v>17</v>
      </c>
    </row>
    <row r="82" spans="1:3" x14ac:dyDescent="0.25">
      <c r="A82" s="3">
        <v>37416307</v>
      </c>
      <c r="B82" s="1">
        <v>20</v>
      </c>
      <c r="C82" s="4" t="s">
        <v>2</v>
      </c>
    </row>
    <row r="83" spans="1:3" x14ac:dyDescent="0.25">
      <c r="A83" s="3">
        <v>38323459</v>
      </c>
      <c r="B83" s="1">
        <v>20</v>
      </c>
      <c r="C83" s="4" t="s">
        <v>13</v>
      </c>
    </row>
    <row r="84" spans="1:3" x14ac:dyDescent="0.25">
      <c r="A84" s="3">
        <v>38094211</v>
      </c>
      <c r="B84" s="1">
        <v>20</v>
      </c>
      <c r="C84" s="4" t="s">
        <v>13</v>
      </c>
    </row>
    <row r="85" spans="1:3" x14ac:dyDescent="0.25">
      <c r="A85" s="3">
        <v>34578152</v>
      </c>
      <c r="B85" s="1" t="s">
        <v>1</v>
      </c>
      <c r="C85" s="4" t="s">
        <v>13</v>
      </c>
    </row>
    <row r="86" spans="1:3" x14ac:dyDescent="0.25">
      <c r="A86" s="3">
        <v>36812087</v>
      </c>
      <c r="B86" s="1" t="s">
        <v>1</v>
      </c>
      <c r="C86" s="4" t="s">
        <v>13</v>
      </c>
    </row>
    <row r="87" spans="1:3" x14ac:dyDescent="0.25">
      <c r="A87" s="3">
        <v>36928136</v>
      </c>
      <c r="B87" s="1">
        <v>30</v>
      </c>
      <c r="C87" s="4" t="s">
        <v>5</v>
      </c>
    </row>
    <row r="88" spans="1:3" x14ac:dyDescent="0.25">
      <c r="A88" s="3">
        <v>36884447</v>
      </c>
      <c r="B88" s="1" t="s">
        <v>1</v>
      </c>
      <c r="C88" s="4" t="s">
        <v>5</v>
      </c>
    </row>
    <row r="89" spans="1:3" x14ac:dyDescent="0.25">
      <c r="A89" s="3">
        <v>38328470</v>
      </c>
      <c r="B89" s="1">
        <v>30</v>
      </c>
      <c r="C89" s="4" t="s">
        <v>5</v>
      </c>
    </row>
    <row r="90" spans="1:3" x14ac:dyDescent="0.25">
      <c r="A90" s="3">
        <v>37322588</v>
      </c>
      <c r="B90" s="1">
        <v>20</v>
      </c>
      <c r="C90" s="4" t="s">
        <v>6</v>
      </c>
    </row>
    <row r="91" spans="1:3" x14ac:dyDescent="0.25">
      <c r="A91" s="3">
        <v>37399230</v>
      </c>
      <c r="B91" s="1">
        <v>20</v>
      </c>
      <c r="C91" s="4" t="s">
        <v>6</v>
      </c>
    </row>
    <row r="92" spans="1:3" x14ac:dyDescent="0.25">
      <c r="A92" s="3">
        <v>35622959</v>
      </c>
      <c r="B92" s="1" t="s">
        <v>1</v>
      </c>
      <c r="C92" s="4" t="s">
        <v>6</v>
      </c>
    </row>
    <row r="93" spans="1:3" x14ac:dyDescent="0.25">
      <c r="A93" s="3">
        <v>38306080</v>
      </c>
      <c r="B93" s="1">
        <v>20</v>
      </c>
      <c r="C93" s="4" t="s">
        <v>6</v>
      </c>
    </row>
    <row r="94" spans="1:3" x14ac:dyDescent="0.25">
      <c r="A94" s="3">
        <v>37962089</v>
      </c>
      <c r="B94" s="1" t="s">
        <v>1</v>
      </c>
      <c r="C94" s="4" t="s">
        <v>6</v>
      </c>
    </row>
    <row r="95" spans="1:3" x14ac:dyDescent="0.25">
      <c r="A95" s="3">
        <v>37837575</v>
      </c>
      <c r="B95" s="1">
        <v>20</v>
      </c>
      <c r="C95" s="4" t="s">
        <v>8</v>
      </c>
    </row>
    <row r="96" spans="1:3" x14ac:dyDescent="0.25">
      <c r="A96" s="3">
        <v>38830328</v>
      </c>
      <c r="B96" s="2">
        <v>20</v>
      </c>
      <c r="C96" s="5" t="s">
        <v>10</v>
      </c>
    </row>
    <row r="97" spans="1:3" x14ac:dyDescent="0.25">
      <c r="A97" s="3">
        <v>38604675</v>
      </c>
      <c r="B97" s="2" t="s">
        <v>1</v>
      </c>
      <c r="C97" s="5" t="s">
        <v>11</v>
      </c>
    </row>
    <row r="98" spans="1:3" x14ac:dyDescent="0.25">
      <c r="A98" s="3">
        <v>38565947</v>
      </c>
      <c r="B98" s="2">
        <v>20</v>
      </c>
      <c r="C98" s="5" t="s">
        <v>12</v>
      </c>
    </row>
    <row r="99" spans="1:3" x14ac:dyDescent="0.25">
      <c r="A99" s="3">
        <v>38745961</v>
      </c>
      <c r="B99" s="2">
        <v>20</v>
      </c>
      <c r="C99" s="5" t="s">
        <v>12</v>
      </c>
    </row>
    <row r="100" spans="1:3" x14ac:dyDescent="0.25">
      <c r="A100" s="3">
        <v>38841414</v>
      </c>
      <c r="B100" s="2">
        <v>20</v>
      </c>
      <c r="C100" s="5" t="s">
        <v>0</v>
      </c>
    </row>
    <row r="101" spans="1:3" x14ac:dyDescent="0.25">
      <c r="A101" s="3">
        <v>37205638</v>
      </c>
      <c r="B101" s="1" t="s">
        <v>1</v>
      </c>
      <c r="C101" s="4" t="s">
        <v>0</v>
      </c>
    </row>
    <row r="102" spans="1:3" x14ac:dyDescent="0.25">
      <c r="A102" s="3">
        <v>37803513</v>
      </c>
      <c r="B102" s="1" t="s">
        <v>1</v>
      </c>
      <c r="C102" s="4" t="s">
        <v>18</v>
      </c>
    </row>
    <row r="103" spans="1:3" x14ac:dyDescent="0.25">
      <c r="A103" s="3">
        <v>37059948</v>
      </c>
      <c r="B103" s="1">
        <v>20</v>
      </c>
      <c r="C103" s="4" t="s">
        <v>2</v>
      </c>
    </row>
    <row r="104" spans="1:3" x14ac:dyDescent="0.25">
      <c r="A104" s="3">
        <v>37239518</v>
      </c>
      <c r="B104" s="1">
        <v>20</v>
      </c>
      <c r="C104" s="4" t="s">
        <v>2</v>
      </c>
    </row>
    <row r="105" spans="1:3" x14ac:dyDescent="0.25">
      <c r="A105" s="3">
        <v>38244709</v>
      </c>
      <c r="B105" s="1" t="s">
        <v>1</v>
      </c>
      <c r="C105" s="4" t="s">
        <v>2</v>
      </c>
    </row>
    <row r="106" spans="1:3" x14ac:dyDescent="0.25">
      <c r="A106" s="3">
        <v>38814910</v>
      </c>
      <c r="B106" s="2">
        <v>20</v>
      </c>
      <c r="C106" s="5" t="s">
        <v>2</v>
      </c>
    </row>
    <row r="107" spans="1:3" x14ac:dyDescent="0.25">
      <c r="A107" s="3">
        <v>38604349</v>
      </c>
      <c r="B107" s="2">
        <v>20</v>
      </c>
      <c r="C107" s="5" t="s">
        <v>16</v>
      </c>
    </row>
    <row r="108" spans="1:3" ht="30" x14ac:dyDescent="0.25">
      <c r="A108" s="3">
        <v>36160305</v>
      </c>
      <c r="B108" s="1" t="s">
        <v>1</v>
      </c>
      <c r="C108" s="4" t="s">
        <v>19</v>
      </c>
    </row>
    <row r="109" spans="1:3" x14ac:dyDescent="0.25">
      <c r="A109" s="3">
        <v>37929090</v>
      </c>
      <c r="B109" s="1" t="s">
        <v>1</v>
      </c>
      <c r="C109" s="4" t="s">
        <v>3</v>
      </c>
    </row>
    <row r="110" spans="1:3" x14ac:dyDescent="0.25">
      <c r="A110" s="3">
        <v>36758437</v>
      </c>
      <c r="B110" s="1" t="s">
        <v>1</v>
      </c>
      <c r="C110" s="4" t="s">
        <v>20</v>
      </c>
    </row>
    <row r="111" spans="1:3" x14ac:dyDescent="0.25">
      <c r="A111" s="3">
        <v>37204965</v>
      </c>
      <c r="B111" s="1" t="s">
        <v>1</v>
      </c>
      <c r="C111" s="4" t="s">
        <v>13</v>
      </c>
    </row>
    <row r="112" spans="1:3" x14ac:dyDescent="0.25">
      <c r="A112" s="3">
        <v>37575542</v>
      </c>
      <c r="B112" s="1" t="s">
        <v>1</v>
      </c>
      <c r="C112" s="4" t="s">
        <v>13</v>
      </c>
    </row>
    <row r="113" spans="1:3" x14ac:dyDescent="0.25">
      <c r="A113" s="3">
        <v>37720267</v>
      </c>
      <c r="B113" s="1" t="s">
        <v>1</v>
      </c>
      <c r="C113" s="4" t="s">
        <v>13</v>
      </c>
    </row>
    <row r="114" spans="1:3" x14ac:dyDescent="0.25">
      <c r="A114" s="3">
        <v>37990375</v>
      </c>
      <c r="B114" s="1">
        <v>20</v>
      </c>
      <c r="C114" s="4" t="s">
        <v>14</v>
      </c>
    </row>
    <row r="115" spans="1:3" x14ac:dyDescent="0.25">
      <c r="A115" s="3">
        <v>38337477</v>
      </c>
      <c r="B115" s="1">
        <v>20</v>
      </c>
      <c r="C115" s="4" t="s">
        <v>21</v>
      </c>
    </row>
    <row r="116" spans="1:3" x14ac:dyDescent="0.25">
      <c r="A116" s="3">
        <v>37604987</v>
      </c>
      <c r="B116" s="1">
        <v>20</v>
      </c>
      <c r="C116" s="4" t="s">
        <v>21</v>
      </c>
    </row>
    <row r="117" spans="1:3" x14ac:dyDescent="0.25">
      <c r="A117" s="3">
        <v>38830008</v>
      </c>
      <c r="B117" s="2">
        <v>30</v>
      </c>
      <c r="C117" s="5" t="s">
        <v>5</v>
      </c>
    </row>
    <row r="118" spans="1:3" x14ac:dyDescent="0.25">
      <c r="A118" s="3">
        <v>36142879</v>
      </c>
      <c r="B118" s="1" t="s">
        <v>1</v>
      </c>
      <c r="C118" s="4" t="s">
        <v>5</v>
      </c>
    </row>
    <row r="119" spans="1:3" x14ac:dyDescent="0.25">
      <c r="A119" s="3">
        <v>37993498</v>
      </c>
      <c r="B119" s="1" t="s">
        <v>1</v>
      </c>
      <c r="C119" s="4" t="s">
        <v>5</v>
      </c>
    </row>
    <row r="120" spans="1:3" x14ac:dyDescent="0.25">
      <c r="A120" s="3">
        <v>37548277</v>
      </c>
      <c r="B120" s="1">
        <v>30</v>
      </c>
      <c r="C120" s="4" t="s">
        <v>5</v>
      </c>
    </row>
  </sheetData>
  <hyperlinks>
    <hyperlink ref="A1" r:id="rId1" display="https://minix.wrenkitchens.com/quartz_details/38883826/BARTON_QUARTZ?deliveryDate=2022-09-30" xr:uid="{60E568AC-7183-4F91-9ADF-45963689DE42}"/>
    <hyperlink ref="A2" r:id="rId2" display="https://minix.wrenkitchens.com/quartz_details/38870291/BARTON_QUARTZ?deliveryDate=2022-09-30" xr:uid="{D44E4A84-CAC7-477E-A163-9939D8CE0021}"/>
    <hyperlink ref="A3" r:id="rId3" display="https://minix.wrenkitchens.com/quartz_details/37184484/BARTON_QUARTZ?deliveryDate=2022-09-30" xr:uid="{9DB9F646-1A1A-4BC3-ABDB-3F697737A55E}"/>
    <hyperlink ref="A4" r:id="rId4" display="https://minix.wrenkitchens.com/quartz_details/37991973/BARTON_QUARTZ?deliveryDate=2022-09-30" xr:uid="{C51E67A9-9C0E-4AF0-8A1C-C39693B74094}"/>
    <hyperlink ref="A5" r:id="rId5" display="https://minix.wrenkitchens.com/quartz_details/38014800/BARTON_QUARTZ?deliveryDate=2022-09-30" xr:uid="{AC3745BC-953F-4DC2-829E-8AC731A070BC}"/>
    <hyperlink ref="A6" r:id="rId6" display="https://minix.wrenkitchens.com/quartz_details/38024756/BARTON_QUARTZ?deliveryDate=2022-09-30" xr:uid="{441DE18E-C3CE-4259-AFD3-E2E2CAF4DC04}"/>
    <hyperlink ref="A7" r:id="rId7" display="https://minix.wrenkitchens.com/quartz_details/38349584/BARTON_QUARTZ?deliveryDate=2022-09-30" xr:uid="{1E84E5F2-A375-46DE-8155-22C05322140F}"/>
    <hyperlink ref="A8" r:id="rId8" display="https://minix.wrenkitchens.com/quartz_details/38883811/BARTON_QUARTZ?deliveryDate=2022-09-30" xr:uid="{C71E4B46-36F1-4470-A9E2-DBA24E7DE6DC}"/>
    <hyperlink ref="A9" r:id="rId9" display="https://minix.wrenkitchens.com/quartz_details/38877063/BARTON_QUARTZ?deliveryDate=2022-09-30" xr:uid="{005D2D43-A935-4627-BB5B-6A608D21B804}"/>
    <hyperlink ref="A10" r:id="rId10" display="https://minix.wrenkitchens.com/quartz_details/37046402/BARTON_QUARTZ?deliveryDate=2022-09-30" xr:uid="{C6562531-3ADA-42C0-974B-554A96686CA3}"/>
    <hyperlink ref="A11" r:id="rId11" display="https://minix.wrenkitchens.com/quartz_details/37581439/BARTON_QUARTZ?deliveryDate=2022-09-30" xr:uid="{7C14EAB1-85E2-4D8B-956D-1E5042A00F75}"/>
    <hyperlink ref="A12" r:id="rId12" display="https://minix.wrenkitchens.com/quartz_details/38714874/BARTON_QUARTZ?deliveryDate=2022-09-30" xr:uid="{ACDAFFB8-BF21-48D7-BF7A-8D8FC1015919}"/>
    <hyperlink ref="A13" r:id="rId13" display="https://minix.wrenkitchens.com/quartz_details/38842988/BARTON_QUARTZ?deliveryDate=2022-09-30" xr:uid="{D858DE11-9DC3-4AC4-BB0A-2417AE975378}"/>
    <hyperlink ref="A14" r:id="rId14" display="https://minix.wrenkitchens.com/quartz_details/38879444/BARTON_QUARTZ?deliveryDate=2022-09-30" xr:uid="{6EC253E9-E144-46A9-9015-B4646917A1A5}"/>
    <hyperlink ref="A15" r:id="rId15" display="https://minix.wrenkitchens.com/quartz_details/38828316/BARTON_QUARTZ?deliveryDate=2022-09-30" xr:uid="{9C7A751B-F05B-4F44-9E57-47C0E9492085}"/>
    <hyperlink ref="A16" r:id="rId16" display="https://minix.wrenkitchens.com/quartz_details/38883772/BARTON_QUARTZ?deliveryDate=2022-09-30" xr:uid="{D96892D9-D797-4E6F-85A6-80298C331BA3}"/>
    <hyperlink ref="A17" r:id="rId17" display="https://minix.wrenkitchens.com/quartz_details/38884593/BARTON_QUARTZ?deliveryDate=2022-09-30" xr:uid="{1D757FA4-9A16-4F30-9C0E-8C468F21EE04}"/>
    <hyperlink ref="A18" r:id="rId18" display="https://minix.wrenkitchens.com/quartz_details/38804087/BARTON_QUARTZ?deliveryDate=2022-09-30" xr:uid="{BE452EC2-99AD-4783-A2A4-C405D6B139D6}"/>
    <hyperlink ref="A19" r:id="rId19" display="https://minix.wrenkitchens.com/quartz_details/38880462/BARTON_QUARTZ?deliveryDate=2022-09-30" xr:uid="{1E26BF23-CBAB-43CF-A023-F8D4BB307022}"/>
    <hyperlink ref="A20" r:id="rId20" display="https://minix.wrenkitchens.com/quartz_details/38842262/BARTON_QUARTZ?deliveryDate=2022-09-30" xr:uid="{229B8BA0-6B5C-4EF8-ACCB-9F8A0D63AA47}"/>
    <hyperlink ref="A21" r:id="rId21" display="https://minix.wrenkitchens.com/quartz_details/38870779/BARTON_QUARTZ?deliveryDate=2022-09-30" xr:uid="{F72559FF-8449-4C7A-8CD6-207D417CC33D}"/>
    <hyperlink ref="A22" r:id="rId22" display="https://minix.wrenkitchens.com/quartz_details/38886207/BARTON_QUARTZ?deliveryDate=2022-09-30" xr:uid="{F399A642-B63D-43A9-8F98-65970F2F6C65}"/>
    <hyperlink ref="A23" r:id="rId23" display="https://minix.wrenkitchens.com/quartz_details/38887576/BARTON_QUARTZ?deliveryDate=2022-09-30" xr:uid="{E6EBF327-FAA0-4010-99AA-F4AF55C8BE85}"/>
    <hyperlink ref="A24" r:id="rId24" display="https://minix.wrenkitchens.com/quartz_details/38887418/BARTON_QUARTZ?deliveryDate=2022-09-30" xr:uid="{FA6E61E1-D043-4565-B5D2-51294FA23EAA}"/>
    <hyperlink ref="A25" r:id="rId25" display="https://minix.wrenkitchens.com/quartz_details/38821220/BARTON_QUARTZ?deliveryDate=2022-09-29" xr:uid="{B8D55D30-AEF6-4656-B1C6-7FDCCBED77EF}"/>
    <hyperlink ref="A26" r:id="rId26" display="https://minix.wrenkitchens.com/quartz_details/38039537/BARTON_QUARTZ?deliveryDate=2022-09-29" xr:uid="{A6F50093-8EF9-4AC3-950D-7A01E1E8816C}"/>
    <hyperlink ref="A27" r:id="rId27" display="https://minix.wrenkitchens.com/quartz_details/37913458/BARTON_QUARTZ?deliveryDate=2022-09-29" xr:uid="{4FAABBFC-B642-438E-8041-0FC1B81FE8C6}"/>
    <hyperlink ref="A28" r:id="rId28" display="https://minix.wrenkitchens.com/quartz_details/37947203/BARTON_QUARTZ?deliveryDate=2022-09-29" xr:uid="{F04C6F37-FF00-4ECC-9C82-E915CE05E2F2}"/>
    <hyperlink ref="A29" r:id="rId29" display="https://minix.wrenkitchens.com/quartz_details/38018217/BARTON_QUARTZ?deliveryDate=2022-09-29" xr:uid="{C5F62659-44D2-431C-8D82-57E93FDF3A3C}"/>
    <hyperlink ref="A30" r:id="rId30" display="https://minix.wrenkitchens.com/quartz_details/38040492/BARTON_QUARTZ?deliveryDate=2022-09-29" xr:uid="{791E9F77-F74C-4D28-808A-7579203E5643}"/>
    <hyperlink ref="A31" r:id="rId31" display="https://minix.wrenkitchens.com/quartz_details/38510678/BARTON_QUARTZ?deliveryDate=2022-09-29" xr:uid="{B3616416-8674-419C-AE34-AD2D17887BCE}"/>
    <hyperlink ref="A32" r:id="rId32" display="https://minix.wrenkitchens.com/quartz_details/37079351/BARTON_QUARTZ?deliveryDate=2022-09-29" xr:uid="{3311C363-BE05-4B2B-8EFE-4EAFB5C1DB36}"/>
    <hyperlink ref="A33" r:id="rId33" display="https://minix.wrenkitchens.com/quartz_details/38063200/BARTON_QUARTZ?deliveryDate=2022-09-29" xr:uid="{4B46DDD9-89D5-4036-8E9B-FCF286818A71}"/>
    <hyperlink ref="A34" r:id="rId34" display="https://minix.wrenkitchens.com/quartz_details/37905159/BARTON_QUARTZ?deliveryDate=2022-09-29" xr:uid="{BFE87BB2-6857-42DA-A9CF-0690546E7595}"/>
    <hyperlink ref="A35" r:id="rId35" display="https://minix.wrenkitchens.com/quartz_details/37774638/BARTON_QUARTZ?deliveryDate=2022-09-29" xr:uid="{69194D69-F869-4A33-8A48-AC5D166AFBBC}"/>
    <hyperlink ref="A36" r:id="rId36" display="https://minix.wrenkitchens.com/quartz_details/38690823/BARTON_QUARTZ?deliveryDate=2022-09-29" xr:uid="{77FAE6CE-4D3D-446C-8020-CFDE1C628049}"/>
    <hyperlink ref="A37" r:id="rId37" display="https://minix.wrenkitchens.com/quartz_details/37394176/BARTON_QUARTZ?deliveryDate=2022-09-29" xr:uid="{6740B781-EBA3-4D0C-9B49-2085723319DB}"/>
    <hyperlink ref="A38" r:id="rId38" display="https://minix.wrenkitchens.com/quartz_details/38299452/BARTON_QUARTZ?deliveryDate=2022-09-29" xr:uid="{02A66C52-30D0-4993-A611-1022C81846E9}"/>
    <hyperlink ref="A39" r:id="rId39" display="https://minix.wrenkitchens.com/quartz_details/38850458/BARTON_QUARTZ?deliveryDate=2022-09-29" xr:uid="{BE6AFD6E-209F-4393-AAD4-52C17F5FBBAE}"/>
    <hyperlink ref="A40" r:id="rId40" display="https://minix.wrenkitchens.com/quartz_details/34630781/BARTON_QUARTZ?deliveryDate=2022-09-29" xr:uid="{8EF2EAB8-EFFF-4D2B-B3A9-F142A278499A}"/>
    <hyperlink ref="A41" r:id="rId41" display="https://minix.wrenkitchens.com/quartz_details/38253065/BARTON_QUARTZ?deliveryDate=2022-09-29" xr:uid="{C828B2BD-21C3-41FE-B00C-42D173789E10}"/>
    <hyperlink ref="A42" r:id="rId42" display="https://minix.wrenkitchens.com/quartz_details/37422251/BARTON_QUARTZ?deliveryDate=2022-09-29" xr:uid="{2802591A-B616-4AA7-AB2A-982DFBEEE808}"/>
    <hyperlink ref="A43" r:id="rId43" display="https://minix.wrenkitchens.com/quartz_details/37306258/BARTON_QUARTZ?deliveryDate=2022-09-29" xr:uid="{BBD890CD-2BFA-4826-8A89-59B3E1D05FC6}"/>
    <hyperlink ref="A44" r:id="rId44" display="https://minix.wrenkitchens.com/quartz_details/36980406/BARTON_QUARTZ?deliveryDate=2022-09-29" xr:uid="{9276AABB-1052-4450-AC3B-FC72F316D4B5}"/>
    <hyperlink ref="A45" r:id="rId45" display="https://minix.wrenkitchens.com/quartz_details/38878899/BARTON_QUARTZ?deliveryDate=2022-09-29" xr:uid="{5F8EDE53-CB02-4B3E-90F4-B1A8505A0625}"/>
    <hyperlink ref="A46" r:id="rId46" display="https://minix.wrenkitchens.com/quartz_details/38847533/BARTON_QUARTZ?deliveryDate=2022-09-29" xr:uid="{49848583-D68C-4C2A-B48A-274EFBFEFFE6}"/>
    <hyperlink ref="A47" r:id="rId47" display="https://minix.wrenkitchens.com/quartz_details/38496779/BARTON_QUARTZ?deliveryDate=2022-09-28" xr:uid="{40E50118-8B07-462C-9516-123763E85649}"/>
    <hyperlink ref="A48" r:id="rId48" display="https://minix.wrenkitchens.com/quartz_details/38870086/BARTON_QUARTZ?deliveryDate=2022-09-28" xr:uid="{64A8C68A-15CD-4C11-8B69-628DC4AAA86D}"/>
    <hyperlink ref="A49" r:id="rId49" display="https://minix.wrenkitchens.com/quartz_details/36995704/BARTON_QUARTZ?deliveryDate=2022-09-28" xr:uid="{DF42BFFA-A2F5-44FD-A654-FCC60FB1ADE8}"/>
    <hyperlink ref="A50" r:id="rId50" display="https://minix.wrenkitchens.com/quartz_details/37542396/BARTON_QUARTZ?deliveryDate=2022-09-28" xr:uid="{8E4E87E0-2602-4B1F-AEF2-4346D2B8E427}"/>
    <hyperlink ref="A51" r:id="rId51" display="https://minix.wrenkitchens.com/quartz_details/37931886/BARTON_QUARTZ?deliveryDate=2022-09-28" xr:uid="{AC84908C-C8A4-4CD5-B6D6-C6302DFB080E}"/>
    <hyperlink ref="A52" r:id="rId52" display="https://minix.wrenkitchens.com/quartz_details/36374441/BARTON_QUARTZ?deliveryDate=2022-09-28" xr:uid="{5D939B7E-EF66-47DF-B8C3-4C4910E7E234}"/>
    <hyperlink ref="A53" r:id="rId53" display="https://minix.wrenkitchens.com/quartz_details/38688674/BARTON_QUARTZ?deliveryDate=2022-09-28" xr:uid="{30FD02C4-CD65-4545-A81F-0CFFB1C89BE0}"/>
    <hyperlink ref="A54" r:id="rId54" display="https://minix.wrenkitchens.com/quartz_details/38843889/BARTON_QUARTZ?deliveryDate=2022-09-28" xr:uid="{3BC1549F-F03A-4079-A56E-602D5FA2D749}"/>
    <hyperlink ref="A55" r:id="rId55" display="https://minix.wrenkitchens.com/quartz_details/36950675/BARTON_QUARTZ?deliveryDate=2022-09-28" xr:uid="{C7BE9101-16B3-4C87-9BA8-F6AF0C82AC5D}"/>
    <hyperlink ref="A56" r:id="rId56" display="https://minix.wrenkitchens.com/quartz_details/37690741/BARTON_QUARTZ?deliveryDate=2022-09-28" xr:uid="{AAB2161D-D282-44F8-B2B2-07E3F64D1BC1}"/>
    <hyperlink ref="A57" r:id="rId57" display="https://minix.wrenkitchens.com/quartz_details/38356068/BARTON_QUARTZ?deliveryDate=2022-09-28" xr:uid="{F3853C1F-CAB0-41FC-89D6-A0534D1403A9}"/>
    <hyperlink ref="A58" r:id="rId58" display="https://minix.wrenkitchens.com/quartz_details/38496669/BARTON_QUARTZ?deliveryDate=2022-09-28" xr:uid="{AB0474D2-1813-400C-A95B-AB83A029415B}"/>
    <hyperlink ref="A59" r:id="rId59" display="https://minix.wrenkitchens.com/quartz_details/38626707/BARTON_QUARTZ?deliveryDate=2022-09-28" xr:uid="{263C06B5-754D-47A1-BF5E-E745B3287307}"/>
    <hyperlink ref="A60" r:id="rId60" display="https://minix.wrenkitchens.com/quartz_details/36138613/BARTON_QUARTZ?deliveryDate=2022-09-28" xr:uid="{40BD4EDB-C6F2-40B9-ADFD-29F7EEDF05EE}"/>
    <hyperlink ref="A61" r:id="rId61" display="https://minix.wrenkitchens.com/quartz_details/38773101/BARTON_QUARTZ?deliveryDate=2022-09-28" xr:uid="{5B7115DB-5B48-4002-A9CE-B9F2B70069AE}"/>
    <hyperlink ref="A62" r:id="rId62" display="https://minix.wrenkitchens.com/quartz_details/38871882/BARTON_QUARTZ?deliveryDate=2022-09-28" xr:uid="{532BE9EA-34FB-4E07-9B18-F4F59E225C46}"/>
    <hyperlink ref="A63" r:id="rId63" display="https://minix.wrenkitchens.com/quartz_details/38406337/BARTON_QUARTZ?deliveryDate=2022-09-28" xr:uid="{91B0CC2B-2609-44A3-8EA5-59B6CE8248C6}"/>
    <hyperlink ref="A64" r:id="rId64" display="https://minix.wrenkitchens.com/quartz_details/37045978/BARTON_QUARTZ?deliveryDate=2022-09-28" xr:uid="{D851105A-4632-433A-BFAA-DBE8324BFD49}"/>
    <hyperlink ref="A65" r:id="rId65" display="https://minix.wrenkitchens.com/quartz_details/38496691/BARTON_QUARTZ?deliveryDate=2022-09-28" xr:uid="{2F68FCFB-4F4D-4CAE-A221-CEA9A2F91B02}"/>
    <hyperlink ref="A66" r:id="rId66" display="https://minix.wrenkitchens.com/quartz_details/38840363/BARTON_QUARTZ?deliveryDate=2022-09-28" xr:uid="{C17C3E6E-8F64-4A85-8E48-C07E369287CE}"/>
    <hyperlink ref="A67" r:id="rId67" display="https://minix.wrenkitchens.com/quartz_details/37810204/BARTON_QUARTZ?deliveryDate=2022-09-28" xr:uid="{07B4385B-9D1C-4B5E-8B8B-B2C2151E3A2F}"/>
    <hyperlink ref="A68" r:id="rId68" display="https://minix.wrenkitchens.com/quartz_details/38773144/BARTON_QUARTZ?deliveryDate=2022-09-28" xr:uid="{C1540E26-0086-4B4F-8915-23CBCD3432E9}"/>
    <hyperlink ref="A69" r:id="rId69" display="https://minix.wrenkitchens.com/quartz_details/38816320/BARTON_QUARTZ?deliveryDate=2022-09-28" xr:uid="{EA19F894-8E0C-4BC5-BB6F-32421406440F}"/>
    <hyperlink ref="A70" r:id="rId70" display="https://minix.wrenkitchens.com/quartz_details/38849669/BARTON_QUARTZ?deliveryDate=2022-09-28" xr:uid="{A0A99300-B8B9-4E12-960F-504B509ADE8A}"/>
    <hyperlink ref="A71" r:id="rId71" display="https://minix.wrenkitchens.com/quartz_details/38756329/BARTON_QUARTZ?deliveryDate=2022-09-28" xr:uid="{24BFBB5A-CD75-4CE9-AC35-BF0406217702}"/>
    <hyperlink ref="A72" r:id="rId72" display="https://minix.wrenkitchens.com/quartz_details/38152314/BARTON_QUARTZ?deliveryDate=2022-09-28" xr:uid="{C9F9C9C9-FB5F-4449-A354-DD970D082472}"/>
    <hyperlink ref="A73" r:id="rId73" display="https://minix.wrenkitchens.com/quartz_details/38496759/BARTON_QUARTZ?deliveryDate=2022-09-28" xr:uid="{5F328166-98C7-4285-8B98-B354498ECA2E}"/>
    <hyperlink ref="A74" r:id="rId74" display="https://minix.wrenkitchens.com/quartz_details/38550746/BARTON_QUARTZ?deliveryDate=2022-09-28" xr:uid="{F936D0F1-BB5A-4DC6-8332-07F0EC89B645}"/>
    <hyperlink ref="A75" r:id="rId75" display="https://minix.wrenkitchens.com/quartz_details/38848930/BARTON_QUARTZ?deliveryDate=2022-09-28" xr:uid="{518BF075-3352-499F-83A8-281C202A5C9E}"/>
    <hyperlink ref="A76" r:id="rId76" display="https://minix.wrenkitchens.com/quartz_details/38824944/BARTON_QUARTZ?deliveryDate=2022-09-28" xr:uid="{D2AEFF77-02EF-42BA-9275-C13D8910A44B}"/>
    <hyperlink ref="A77" r:id="rId77" display="https://minix.wrenkitchens.com/quartz_details/38848021/BARTON_QUARTZ?deliveryDate=2022-09-28" xr:uid="{A4BA377A-10CB-4282-9070-EE8E5AFBD7DD}"/>
    <hyperlink ref="A78" r:id="rId78" display="https://minix.wrenkitchens.com/quartz_details/38840235/BARTON_QUARTZ?deliveryDate=2022-09-28" xr:uid="{8D8B5400-695D-4107-9A81-7E41831E6F2B}"/>
    <hyperlink ref="A79" r:id="rId79" display="https://minix.wrenkitchens.com/quartz_details/38815533/BARTON_QUARTZ?deliveryDate=2022-09-28" xr:uid="{5674B0D9-81F2-40F8-B90F-7B3F24A72B77}"/>
    <hyperlink ref="A80" r:id="rId80" display="https://minix.wrenkitchens.com/quartz_details/38626667/BARTON_QUARTZ?deliveryDate=2022-09-28" xr:uid="{F7DF5818-E97D-4106-8178-3E7619A13E56}"/>
    <hyperlink ref="A81" r:id="rId81" display="https://minix.wrenkitchens.com/quartz_details/38869769/BARTON_QUARTZ?deliveryDate=2022-09-27" xr:uid="{61FA286C-740F-46B7-B85A-A7B9C99A59EE}"/>
    <hyperlink ref="A82" r:id="rId82" display="https://minix.wrenkitchens.com/quartz_details/37416307/BARTON_QUARTZ?deliveryDate=2022-09-27" xr:uid="{DDB112AB-9159-4B73-A7E8-CAE3A14124D3}"/>
    <hyperlink ref="A83" r:id="rId83" display="https://minix.wrenkitchens.com/quartz_details/38323459/BARTON_QUARTZ?deliveryDate=2022-09-27" xr:uid="{B9C6CBB9-2E40-4F7C-A761-319C17F7ED84}"/>
    <hyperlink ref="A84" r:id="rId84" display="https://minix.wrenkitchens.com/quartz_details/38094211/BARTON_QUARTZ?deliveryDate=2022-09-27" xr:uid="{9DC17440-5482-41C4-B5A4-7FB06FEA4037}"/>
    <hyperlink ref="A85" r:id="rId85" display="https://minix.wrenkitchens.com/quartz_details/34578152/BARTON_QUARTZ?deliveryDate=2022-09-27" xr:uid="{B90173ED-9B4D-4C10-A319-76C2FFAAA63C}"/>
    <hyperlink ref="A86" r:id="rId86" display="https://minix.wrenkitchens.com/quartz_details/36812087/BARTON_QUARTZ?deliveryDate=2022-09-27" xr:uid="{42EB152A-CA1B-4E47-AB8E-47F4A8C5E9A5}"/>
    <hyperlink ref="A87" r:id="rId87" display="https://minix.wrenkitchens.com/quartz_details/36928136/BARTON_QUARTZ?deliveryDate=2022-09-27" xr:uid="{E47434C5-193C-4AF7-8840-BF24EFEF4E72}"/>
    <hyperlink ref="A88" r:id="rId88" display="https://minix.wrenkitchens.com/quartz_details/36884447/BARTON_QUARTZ?deliveryDate=2022-09-27" xr:uid="{C4466D6C-A47D-4F9C-999E-1E5386DDEA10}"/>
    <hyperlink ref="A89" r:id="rId89" display="https://minix.wrenkitchens.com/quartz_details/38328470/BARTON_QUARTZ?deliveryDate=2022-09-27" xr:uid="{E8A0F8C0-109B-476B-9AAE-6B4CE331D25C}"/>
    <hyperlink ref="A90" r:id="rId90" display="https://minix.wrenkitchens.com/quartz_details/37322588/BARTON_QUARTZ?deliveryDate=2022-09-27" xr:uid="{871F7A07-A799-4E90-A2CC-4C562B280108}"/>
    <hyperlink ref="A91" r:id="rId91" display="https://minix.wrenkitchens.com/quartz_details/37399230/BARTON_QUARTZ?deliveryDate=2022-09-27" xr:uid="{E516FB08-A97E-49B6-A405-3988BA7AC42F}"/>
    <hyperlink ref="A92" r:id="rId92" display="https://minix.wrenkitchens.com/quartz_details/35622959/BARTON_QUARTZ?deliveryDate=2022-09-27" xr:uid="{078E8201-71CF-4423-ADD5-923830336363}"/>
    <hyperlink ref="A93" r:id="rId93" display="https://minix.wrenkitchens.com/quartz_details/38306080/BARTON_QUARTZ?deliveryDate=2022-09-27" xr:uid="{FA598A3F-10B4-4421-9865-DFD3EE5E5934}"/>
    <hyperlink ref="A94" r:id="rId94" display="https://minix.wrenkitchens.com/quartz_details/37962089/BARTON_QUARTZ?deliveryDate=2022-09-27" xr:uid="{DD41493B-80FA-4841-9B57-78EF8B5DDB35}"/>
    <hyperlink ref="A95" r:id="rId95" display="https://minix.wrenkitchens.com/quartz_details/37837575/BARTON_QUARTZ?deliveryDate=2022-09-27" xr:uid="{F47D69CD-D7D7-47BA-A024-F81404C4D1B5}"/>
    <hyperlink ref="A96" r:id="rId96" display="https://minix.wrenkitchens.com/quartz_details/38830328/BARTON_QUARTZ?deliveryDate=2022-09-27" xr:uid="{5A9BD46B-58CE-4829-AE57-25BCB52951EE}"/>
    <hyperlink ref="A97" r:id="rId97" display="https://minix.wrenkitchens.com/quartz_details/38604675/BARTON_QUARTZ?deliveryDate=2022-09-27" xr:uid="{3D8204E2-5511-4B7B-B4B7-BCD4228CEFB3}"/>
    <hyperlink ref="A98" r:id="rId98" display="https://minix.wrenkitchens.com/quartz_details/38565947/BARTON_QUARTZ?deliveryDate=2022-09-27" xr:uid="{921B8638-511A-45C1-8396-6176CF6A0668}"/>
    <hyperlink ref="A99" r:id="rId99" display="https://minix.wrenkitchens.com/quartz_details/38745961/BARTON_QUARTZ?deliveryDate=2022-09-27" xr:uid="{A1CC821F-7FAF-4B40-B2C6-15FDDBCA5806}"/>
    <hyperlink ref="A100" r:id="rId100" display="https://minix.wrenkitchens.com/quartz_details/38841414/BARTON_QUARTZ?deliveryDate=2022-09-26" xr:uid="{E47B868E-8007-4A7A-BAB9-13E79B246DBA}"/>
    <hyperlink ref="A101" r:id="rId101" display="https://minix.wrenkitchens.com/quartz_details/37205638/BARTON_QUARTZ?deliveryDate=2022-09-26" xr:uid="{84886479-8B46-46FC-95F4-12F1B7D0AC9F}"/>
    <hyperlink ref="A102" r:id="rId102" display="https://minix.wrenkitchens.com/quartz_details/37803513/BARTON_QUARTZ?deliveryDate=2022-09-26" xr:uid="{ED8F139E-5ED7-4904-A0A0-6B8EBC0C31BD}"/>
    <hyperlink ref="A103" r:id="rId103" display="https://minix.wrenkitchens.com/quartz_details/37059948/BARTON_QUARTZ?deliveryDate=2022-09-26" xr:uid="{E6BDB5C8-60CD-47E3-8656-92A087E09BDA}"/>
    <hyperlink ref="A104" r:id="rId104" display="https://minix.wrenkitchens.com/quartz_details/37239518/BARTON_QUARTZ?deliveryDate=2022-09-26" xr:uid="{14C65C44-BAAD-4310-B6C5-AEC899433A2E}"/>
    <hyperlink ref="A105" r:id="rId105" display="https://minix.wrenkitchens.com/quartz_details/38244709/BARTON_QUARTZ?deliveryDate=2022-09-26" xr:uid="{A40508ED-FFA7-430D-9512-D50F039AB040}"/>
    <hyperlink ref="A106" r:id="rId106" display="https://minix.wrenkitchens.com/quartz_details/38814910/BARTON_QUARTZ?deliveryDate=2022-09-26" xr:uid="{9A66223F-D3B7-44C8-9690-BC42FF087F79}"/>
    <hyperlink ref="A107" r:id="rId107" display="https://minix.wrenkitchens.com/quartz_details/38604349/BARTON_QUARTZ?deliveryDate=2022-09-26" xr:uid="{CAA46CC7-0F92-4319-B60E-BDBEF2358249}"/>
    <hyperlink ref="A108" r:id="rId108" display="https://minix.wrenkitchens.com/quartz_details/36160305/BARTON_QUARTZ?deliveryDate=2022-09-26" xr:uid="{87D4BF55-BA25-4F39-BD5E-8A39DD82E784}"/>
    <hyperlink ref="A109" r:id="rId109" display="https://minix.wrenkitchens.com/quartz_details/37929090/BARTON_QUARTZ?deliveryDate=2022-09-26" xr:uid="{51A4C839-D2F0-4517-B3A0-0076E8732842}"/>
    <hyperlink ref="A110" r:id="rId110" display="https://minix.wrenkitchens.com/quartz_details/36758437/BARTON_QUARTZ?deliveryDate=2022-09-26" xr:uid="{8D0889C9-B5D0-47F4-9187-7BAA20B57DBE}"/>
    <hyperlink ref="A111" r:id="rId111" display="https://minix.wrenkitchens.com/quartz_details/37204965/BARTON_QUARTZ?deliveryDate=2022-09-26" xr:uid="{C256A671-2E45-4A4B-8E17-558737864FF0}"/>
    <hyperlink ref="A112" r:id="rId112" display="https://minix.wrenkitchens.com/quartz_details/37575542/BARTON_QUARTZ?deliveryDate=2022-09-26" xr:uid="{3A574801-0C76-4699-9D3A-DE521942A30E}"/>
    <hyperlink ref="A113" r:id="rId113" display="https://minix.wrenkitchens.com/quartz_details/37720267/BARTON_QUARTZ?deliveryDate=2022-09-26" xr:uid="{4DD71F11-428B-45F8-A435-A6E3A0425079}"/>
    <hyperlink ref="A114" r:id="rId114" display="https://minix.wrenkitchens.com/quartz_details/37990375/BARTON_QUARTZ?deliveryDate=2022-09-26" xr:uid="{CA83E6FB-5AE2-439C-A8D7-E02E9E30EED8}"/>
    <hyperlink ref="A115" r:id="rId115" display="https://minix.wrenkitchens.com/quartz_details/38337477/BARTON_QUARTZ?deliveryDate=2022-09-26" xr:uid="{36AB0F8B-C5AF-4A4E-8401-3403FE2B1619}"/>
    <hyperlink ref="A116" r:id="rId116" display="https://minix.wrenkitchens.com/quartz_details/37604987/BARTON_QUARTZ?deliveryDate=2022-09-26" xr:uid="{C997E1EC-BBEE-4545-B0AC-4C2055E376C5}"/>
    <hyperlink ref="A117" r:id="rId117" display="https://minix.wrenkitchens.com/quartz_details/38830008/BARTON_QUARTZ?deliveryDate=2022-09-26" xr:uid="{73CE31FF-30A0-47AD-85DF-804C17956769}"/>
    <hyperlink ref="A118" r:id="rId118" display="https://minix.wrenkitchens.com/quartz_details/36142879/BARTON_QUARTZ?deliveryDate=2022-09-26" xr:uid="{26561099-1735-4A9F-9C2C-6C62BC55BB5B}"/>
    <hyperlink ref="A119" r:id="rId119" display="https://minix.wrenkitchens.com/quartz_details/37993498/BARTON_QUARTZ?deliveryDate=2022-09-26" xr:uid="{CD74298D-951D-4E7E-A8B2-62FBF90BFFDF}"/>
    <hyperlink ref="A120" r:id="rId120" display="https://minix.wrenkitchens.com/quartz_details/37548277/BARTON_QUARTZ?deliveryDate=2022-09-26" xr:uid="{587AE957-259E-4A28-9DA6-C428487C8D9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46D59-AACD-4726-9962-6CAF03EB92E4}">
  <sheetPr codeName="Sheet2"/>
  <dimension ref="A1:B24"/>
  <sheetViews>
    <sheetView workbookViewId="0">
      <selection activeCell="I21" sqref="I21"/>
    </sheetView>
  </sheetViews>
  <sheetFormatPr defaultRowHeight="15" x14ac:dyDescent="0.25"/>
  <cols>
    <col min="1" max="1" width="17.7109375" style="8" bestFit="1" customWidth="1"/>
    <col min="2" max="2" width="10.140625" bestFit="1" customWidth="1"/>
  </cols>
  <sheetData>
    <row r="1" spans="1:2" x14ac:dyDescent="0.25">
      <c r="A1" s="8" t="s">
        <v>54</v>
      </c>
      <c r="B1" t="s">
        <v>53</v>
      </c>
    </row>
    <row r="2" spans="1:2" x14ac:dyDescent="0.25">
      <c r="A2" s="6" t="s">
        <v>22</v>
      </c>
      <c r="B2" t="s">
        <v>27</v>
      </c>
    </row>
    <row r="3" spans="1:2" x14ac:dyDescent="0.25">
      <c r="A3" s="6" t="s">
        <v>23</v>
      </c>
      <c r="B3" t="s">
        <v>28</v>
      </c>
    </row>
    <row r="4" spans="1:2" x14ac:dyDescent="0.25">
      <c r="A4" s="7" t="s">
        <v>7</v>
      </c>
      <c r="B4" t="s">
        <v>29</v>
      </c>
    </row>
    <row r="5" spans="1:2" x14ac:dyDescent="0.25">
      <c r="A5" s="7" t="s">
        <v>11</v>
      </c>
      <c r="B5" t="s">
        <v>30</v>
      </c>
    </row>
    <row r="6" spans="1:2" x14ac:dyDescent="0.25">
      <c r="A6" s="7" t="s">
        <v>21</v>
      </c>
      <c r="B6" t="s">
        <v>31</v>
      </c>
    </row>
    <row r="7" spans="1:2" x14ac:dyDescent="0.25">
      <c r="A7" s="7" t="s">
        <v>5</v>
      </c>
      <c r="B7" t="s">
        <v>32</v>
      </c>
    </row>
    <row r="8" spans="1:2" x14ac:dyDescent="0.25">
      <c r="A8" s="7" t="s">
        <v>8</v>
      </c>
      <c r="B8" t="s">
        <v>33</v>
      </c>
    </row>
    <row r="9" spans="1:2" x14ac:dyDescent="0.25">
      <c r="A9" s="7" t="s">
        <v>3</v>
      </c>
      <c r="B9" t="s">
        <v>41</v>
      </c>
    </row>
    <row r="10" spans="1:2" x14ac:dyDescent="0.25">
      <c r="A10" s="7" t="s">
        <v>13</v>
      </c>
      <c r="B10" t="s">
        <v>42</v>
      </c>
    </row>
    <row r="11" spans="1:2" x14ac:dyDescent="0.25">
      <c r="A11" s="7" t="s">
        <v>14</v>
      </c>
      <c r="B11" t="s">
        <v>34</v>
      </c>
    </row>
    <row r="12" spans="1:2" x14ac:dyDescent="0.25">
      <c r="A12" s="7" t="s">
        <v>17</v>
      </c>
      <c r="B12" t="s">
        <v>35</v>
      </c>
    </row>
    <row r="13" spans="1:2" x14ac:dyDescent="0.25">
      <c r="A13" s="7" t="s">
        <v>15</v>
      </c>
      <c r="B13" t="s">
        <v>43</v>
      </c>
    </row>
    <row r="14" spans="1:2" x14ac:dyDescent="0.25">
      <c r="A14" s="7" t="s">
        <v>4</v>
      </c>
      <c r="B14" t="s">
        <v>36</v>
      </c>
    </row>
    <row r="15" spans="1:2" x14ac:dyDescent="0.25">
      <c r="A15" s="7" t="s">
        <v>0</v>
      </c>
      <c r="B15" t="s">
        <v>44</v>
      </c>
    </row>
    <row r="16" spans="1:2" x14ac:dyDescent="0.25">
      <c r="A16" s="7" t="s">
        <v>24</v>
      </c>
      <c r="B16" t="s">
        <v>37</v>
      </c>
    </row>
    <row r="17" spans="1:2" x14ac:dyDescent="0.25">
      <c r="A17" s="7" t="s">
        <v>9</v>
      </c>
      <c r="B17" t="s">
        <v>38</v>
      </c>
    </row>
    <row r="18" spans="1:2" x14ac:dyDescent="0.25">
      <c r="A18" s="7" t="s">
        <v>2</v>
      </c>
      <c r="B18" t="s">
        <v>39</v>
      </c>
    </row>
    <row r="19" spans="1:2" x14ac:dyDescent="0.25">
      <c r="A19" s="7" t="s">
        <v>25</v>
      </c>
      <c r="B19" t="s">
        <v>45</v>
      </c>
    </row>
    <row r="20" spans="1:2" x14ac:dyDescent="0.25">
      <c r="A20" s="7" t="s">
        <v>16</v>
      </c>
      <c r="B20" t="s">
        <v>46</v>
      </c>
    </row>
    <row r="21" spans="1:2" x14ac:dyDescent="0.25">
      <c r="A21" s="7" t="s">
        <v>10</v>
      </c>
      <c r="B21" t="s">
        <v>47</v>
      </c>
    </row>
    <row r="22" spans="1:2" x14ac:dyDescent="0.25">
      <c r="A22" s="7" t="s">
        <v>12</v>
      </c>
      <c r="B22" t="s">
        <v>48</v>
      </c>
    </row>
    <row r="23" spans="1:2" x14ac:dyDescent="0.25">
      <c r="A23" s="7" t="s">
        <v>6</v>
      </c>
      <c r="B23" t="s">
        <v>49</v>
      </c>
    </row>
    <row r="24" spans="1:2" x14ac:dyDescent="0.25">
      <c r="A24" s="7" t="s">
        <v>26</v>
      </c>
      <c r="B24" t="s">
        <v>40</v>
      </c>
    </row>
  </sheetData>
  <sortState xmlns:xlrd2="http://schemas.microsoft.com/office/spreadsheetml/2017/richdata2" ref="A5:A128">
    <sortCondition ref="A4:A12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USQUARTZProgrammer01</dc:creator>
  <cp:lastModifiedBy>USQUARTZProgrammer01</cp:lastModifiedBy>
  <dcterms:created xsi:type="dcterms:W3CDTF">2022-09-22T21:42:19Z</dcterms:created>
  <dcterms:modified xsi:type="dcterms:W3CDTF">2022-09-23T19:18:21Z</dcterms:modified>
</cp:coreProperties>
</file>